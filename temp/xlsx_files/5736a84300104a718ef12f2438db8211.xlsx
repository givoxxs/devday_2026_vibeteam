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24226"/>
  <xr:revisionPtr revIDLastSave="0" documentId="13_ncr:1_{7316A0BC-05D6-4060-9EDB-B0B80AB1DF6F}" xr6:coauthVersionLast="47" xr6:coauthVersionMax="47" xr10:uidLastSave="{00000000-0000-0000-0000-000000000000}"/>
  <bookViews>
    <workbookView xWindow="-120" yWindow="-120" windowWidth="29040" windowHeight="17520" tabRatio="862" firstSheet="1" activeTab="6" xr2:uid="{00000000-000D-0000-FFFF-FFFF00000000}"/>
  </bookViews>
  <sheets>
    <sheet name="様式５の３" sheetId="12" state="hidden" r:id="rId1"/>
    <sheet name="（日負荷曲線用需要データ）" sheetId="37" r:id="rId2"/>
    <sheet name="（日負荷曲線用元データ）" sheetId="38" r:id="rId3"/>
    <sheet name="（日負荷用基本データ）" sheetId="39" r:id="rId4"/>
    <sheet name="様式３（回転機）" sheetId="23" r:id="rId5"/>
    <sheet name="様式３（二次励磁機）" sheetId="19" r:id="rId6"/>
    <sheet name="様式５の２" sheetId="11" r:id="rId7"/>
  </sheets>
  <definedNames>
    <definedName name="_xlnm.Print_Area" localSheetId="4">'様式３（回転機）'!$A$1:$L$40</definedName>
    <definedName name="_xlnm.Print_Area" localSheetId="5">'様式３（二次励磁機）'!$A$1:$L$41</definedName>
    <definedName name="TR一覧" localSheetId="2">#REF!</definedName>
    <definedName name="TR一覧" localSheetId="1">#REF!</definedName>
    <definedName name="TR一覧" localSheetId="3">#REF!</definedName>
    <definedName name="TR一覧">#REF!</definedName>
    <definedName name="TR結線一覧" localSheetId="2">#REF!</definedName>
    <definedName name="TR結線一覧" localSheetId="1">#REF!</definedName>
    <definedName name="TR結線一覧" localSheetId="3">#REF!</definedName>
    <definedName name="TR結線一覧">#REF!</definedName>
    <definedName name="TR容量一覧" localSheetId="2">#REF!</definedName>
    <definedName name="TR容量一覧" localSheetId="1">#REF!</definedName>
    <definedName name="TR容量一覧" localSheetId="3">#REF!</definedName>
    <definedName name="TR容量一覧">#REF!</definedName>
    <definedName name="一次側電圧一覧" localSheetId="2">#REF!</definedName>
    <definedName name="一次側電圧一覧" localSheetId="1">#REF!</definedName>
    <definedName name="一次側電圧一覧" localSheetId="3">#REF!</definedName>
    <definedName name="一次側電圧一覧">#REF!</definedName>
    <definedName name="回路分類一覧" localSheetId="2">#REF!</definedName>
    <definedName name="回路分類一覧" localSheetId="1">#REF!</definedName>
    <definedName name="回路分類一覧" localSheetId="3">#REF!</definedName>
    <definedName name="回路分類一覧">#REF!</definedName>
    <definedName name="受電接続負荷種別" localSheetId="2">#REF!</definedName>
    <definedName name="受電接続負荷種別" localSheetId="1">#REF!</definedName>
    <definedName name="受電接続負荷種別" localSheetId="3">#REF!</definedName>
    <definedName name="受電接続負荷種別">#REF!</definedName>
    <definedName name="需要家受電電圧" localSheetId="2">#REF!</definedName>
    <definedName name="需要家受電電圧" localSheetId="1">#REF!</definedName>
    <definedName name="需要家受電電圧" localSheetId="3">#REF!</definedName>
    <definedName name="需要家受電電圧">#REF!</definedName>
    <definedName name="需要家受電方式" localSheetId="2">#REF!</definedName>
    <definedName name="需要家受電方式" localSheetId="1">#REF!</definedName>
    <definedName name="需要家受電方式" localSheetId="3">#REF!</definedName>
    <definedName name="需要家受電方式">#REF!</definedName>
    <definedName name="設備種類" localSheetId="2">#REF!</definedName>
    <definedName name="設備種類" localSheetId="1">#REF!</definedName>
    <definedName name="設備種類" localSheetId="3">#REF!</definedName>
    <definedName name="設備種類">#REF!</definedName>
    <definedName name="電力会社" localSheetId="2">#REF!</definedName>
    <definedName name="電力会社" localSheetId="1">#REF!</definedName>
    <definedName name="電力会社" localSheetId="3">#REF!</definedName>
    <definedName name="電力会社">#REF!</definedName>
    <definedName name="二次側電圧一覧" localSheetId="2">#REF!</definedName>
    <definedName name="二次側電圧一覧" localSheetId="1">#REF!</definedName>
    <definedName name="二次側電圧一覧" localSheetId="3">#REF!</definedName>
    <definedName name="二次側電圧一覧">#REF!</definedName>
    <definedName name="入力TR一覧" localSheetId="2">#REF!</definedName>
    <definedName name="入力TR一覧" localSheetId="1">#REF!</definedName>
    <definedName name="入力TR一覧" localSheetId="3">#REF!</definedName>
    <definedName name="入力TR一覧">#REF!</definedName>
    <definedName name="負荷種別" localSheetId="2">#REF!</definedName>
    <definedName name="負荷種別" localSheetId="1">#REF!</definedName>
    <definedName name="負荷種別" localSheetId="3">#REF!</definedName>
    <definedName name="負荷種別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39" l="1"/>
  <c r="J41" i="39" s="1"/>
  <c r="H42" i="39"/>
  <c r="F42" i="39"/>
  <c r="D4" i="39"/>
  <c r="D5" i="39"/>
  <c r="S4" i="12"/>
  <c r="D43" i="39"/>
  <c r="C43" i="39"/>
  <c r="B43" i="39"/>
  <c r="H27" i="39"/>
  <c r="F39" i="39"/>
  <c r="D42" i="39"/>
  <c r="C42" i="39"/>
  <c r="B42" i="39"/>
  <c r="D12" i="39"/>
  <c r="C12" i="39"/>
  <c r="O9" i="39"/>
  <c r="N9" i="39"/>
  <c r="N8" i="39"/>
  <c r="H392" i="38"/>
  <c r="AW391" i="38"/>
  <c r="AV391" i="38"/>
  <c r="AV392" i="38" s="1"/>
  <c r="AU391" i="38"/>
  <c r="AT391" i="38"/>
  <c r="AS391" i="38"/>
  <c r="AR391" i="38"/>
  <c r="AQ391" i="38"/>
  <c r="AP391" i="38"/>
  <c r="AP392" i="38" s="1"/>
  <c r="AO391" i="38"/>
  <c r="AN391" i="38"/>
  <c r="AN392" i="38" s="1"/>
  <c r="AM391" i="38"/>
  <c r="AL391" i="38"/>
  <c r="AK391" i="38"/>
  <c r="AJ391" i="38"/>
  <c r="AJ392" i="38" s="1"/>
  <c r="AI391" i="38"/>
  <c r="AH391" i="38"/>
  <c r="AH392" i="38" s="1"/>
  <c r="AG391" i="38"/>
  <c r="AF391" i="38"/>
  <c r="AF392" i="38" s="1"/>
  <c r="AE391" i="38"/>
  <c r="AD391" i="38"/>
  <c r="AC391" i="38"/>
  <c r="AB392" i="38" s="1"/>
  <c r="AB391" i="38"/>
  <c r="AA391" i="38"/>
  <c r="Z391" i="38"/>
  <c r="Z392" i="38" s="1"/>
  <c r="Y391" i="38"/>
  <c r="X391" i="38"/>
  <c r="X392" i="38" s="1"/>
  <c r="W391" i="38"/>
  <c r="V391" i="38"/>
  <c r="V392" i="38" s="1"/>
  <c r="U391" i="38"/>
  <c r="T391" i="38"/>
  <c r="S391" i="38"/>
  <c r="R391" i="38"/>
  <c r="R392" i="38" s="1"/>
  <c r="Q391" i="38"/>
  <c r="P391" i="38"/>
  <c r="P392" i="38" s="1"/>
  <c r="O391" i="38"/>
  <c r="N391" i="38"/>
  <c r="N392" i="38" s="1"/>
  <c r="M391" i="38"/>
  <c r="L392" i="38" s="1"/>
  <c r="L391" i="38"/>
  <c r="K391" i="38"/>
  <c r="J391" i="38"/>
  <c r="J392" i="38" s="1"/>
  <c r="I391" i="38"/>
  <c r="H391" i="38"/>
  <c r="G391" i="38"/>
  <c r="F391" i="38"/>
  <c r="F392" i="38" s="1"/>
  <c r="E391" i="38"/>
  <c r="D391" i="38"/>
  <c r="D392" i="38" s="1"/>
  <c r="C391" i="38"/>
  <c r="B391" i="38"/>
  <c r="B392" i="38" s="1"/>
  <c r="AW358" i="38"/>
  <c r="AX12" i="37" s="1"/>
  <c r="AU358" i="38"/>
  <c r="AS358" i="38"/>
  <c r="AQ358" i="38"/>
  <c r="AO358" i="38"/>
  <c r="AM358" i="38"/>
  <c r="AK358" i="38"/>
  <c r="AI358" i="38"/>
  <c r="AG358" i="38"/>
  <c r="AH12" i="37" s="1"/>
  <c r="AE358" i="38"/>
  <c r="AC358" i="38"/>
  <c r="AA358" i="38"/>
  <c r="Y358" i="38"/>
  <c r="W358" i="38"/>
  <c r="U358" i="38"/>
  <c r="S358" i="38"/>
  <c r="Q358" i="38"/>
  <c r="R12" i="37" s="1"/>
  <c r="O358" i="38"/>
  <c r="M358" i="38"/>
  <c r="K358" i="38"/>
  <c r="I358" i="38"/>
  <c r="G358" i="38"/>
  <c r="E358" i="38"/>
  <c r="C358" i="38"/>
  <c r="AN327" i="38"/>
  <c r="AN358" i="38" s="1"/>
  <c r="AO12" i="37" s="1"/>
  <c r="X327" i="38"/>
  <c r="X358" i="38" s="1"/>
  <c r="Y12" i="37" s="1"/>
  <c r="AW326" i="38"/>
  <c r="AV326" i="38"/>
  <c r="AV327" i="38" s="1"/>
  <c r="AV358" i="38" s="1"/>
  <c r="AU326" i="38"/>
  <c r="AT326" i="38"/>
  <c r="AT327" i="38" s="1"/>
  <c r="AT358" i="38" s="1"/>
  <c r="AS326" i="38"/>
  <c r="AR326" i="38"/>
  <c r="AS18" i="37" s="1"/>
  <c r="AQ326" i="38"/>
  <c r="AP326" i="38"/>
  <c r="AP327" i="38" s="1"/>
  <c r="AP358" i="38" s="1"/>
  <c r="AO326" i="38"/>
  <c r="AN326" i="38"/>
  <c r="AO18" i="37" s="1"/>
  <c r="AM326" i="38"/>
  <c r="AL326" i="38"/>
  <c r="AL327" i="38" s="1"/>
  <c r="AL358" i="38" s="1"/>
  <c r="AK326" i="38"/>
  <c r="AJ326" i="38"/>
  <c r="AJ327" i="38" s="1"/>
  <c r="AJ358" i="38" s="1"/>
  <c r="AI326" i="38"/>
  <c r="AH326" i="38"/>
  <c r="AH327" i="38" s="1"/>
  <c r="AH358" i="38" s="1"/>
  <c r="AG326" i="38"/>
  <c r="AF326" i="38"/>
  <c r="AF327" i="38" s="1"/>
  <c r="AF358" i="38" s="1"/>
  <c r="AE326" i="38"/>
  <c r="AD326" i="38"/>
  <c r="AD327" i="38" s="1"/>
  <c r="AD358" i="38" s="1"/>
  <c r="AC326" i="38"/>
  <c r="AB326" i="38"/>
  <c r="AC18" i="37" s="1"/>
  <c r="AA326" i="38"/>
  <c r="Z326" i="38"/>
  <c r="Z327" i="38" s="1"/>
  <c r="Z358" i="38" s="1"/>
  <c r="Y326" i="38"/>
  <c r="X326" i="38"/>
  <c r="Y18" i="37" s="1"/>
  <c r="W326" i="38"/>
  <c r="V326" i="38"/>
  <c r="V327" i="38" s="1"/>
  <c r="V358" i="38" s="1"/>
  <c r="U326" i="38"/>
  <c r="T326" i="38"/>
  <c r="T327" i="38" s="1"/>
  <c r="T358" i="38" s="1"/>
  <c r="S326" i="38"/>
  <c r="R326" i="38"/>
  <c r="R327" i="38" s="1"/>
  <c r="R358" i="38" s="1"/>
  <c r="Q326" i="38"/>
  <c r="P326" i="38"/>
  <c r="P327" i="38" s="1"/>
  <c r="P358" i="38" s="1"/>
  <c r="O326" i="38"/>
  <c r="N326" i="38"/>
  <c r="N327" i="38" s="1"/>
  <c r="N358" i="38" s="1"/>
  <c r="M326" i="38"/>
  <c r="L326" i="38"/>
  <c r="L327" i="38" s="1"/>
  <c r="L358" i="38" s="1"/>
  <c r="M12" i="37" s="1"/>
  <c r="K326" i="38"/>
  <c r="J326" i="38"/>
  <c r="J327" i="38" s="1"/>
  <c r="J358" i="38" s="1"/>
  <c r="I326" i="38"/>
  <c r="H326" i="38"/>
  <c r="H327" i="38" s="1"/>
  <c r="H358" i="38" s="1"/>
  <c r="I12" i="37" s="1"/>
  <c r="G326" i="38"/>
  <c r="F326" i="38"/>
  <c r="F327" i="38" s="1"/>
  <c r="F358" i="38" s="1"/>
  <c r="E326" i="38"/>
  <c r="D326" i="38"/>
  <c r="D327" i="38" s="1"/>
  <c r="D358" i="38" s="1"/>
  <c r="C326" i="38"/>
  <c r="B326" i="38"/>
  <c r="B327" i="38" s="1"/>
  <c r="B358" i="38" s="1"/>
  <c r="AW293" i="38"/>
  <c r="AV293" i="38"/>
  <c r="AV294" i="38" s="1"/>
  <c r="AU293" i="38"/>
  <c r="AT293" i="38"/>
  <c r="AT294" i="38" s="1"/>
  <c r="AS293" i="38"/>
  <c r="AR294" i="38" s="1"/>
  <c r="AR293" i="38"/>
  <c r="AQ293" i="38"/>
  <c r="AP293" i="38"/>
  <c r="AO293" i="38"/>
  <c r="AN293" i="38"/>
  <c r="AN294" i="38" s="1"/>
  <c r="AM293" i="38"/>
  <c r="AL293" i="38"/>
  <c r="AL294" i="38" s="1"/>
  <c r="AK293" i="38"/>
  <c r="AL17" i="37" s="1"/>
  <c r="AJ293" i="38"/>
  <c r="AI293" i="38"/>
  <c r="AH293" i="38"/>
  <c r="AG293" i="38"/>
  <c r="AF293" i="38"/>
  <c r="AF294" i="38" s="1"/>
  <c r="AE293" i="38"/>
  <c r="AD293" i="38"/>
  <c r="AD294" i="38" s="1"/>
  <c r="AC293" i="38"/>
  <c r="AB294" i="38" s="1"/>
  <c r="AB293" i="38"/>
  <c r="AA293" i="38"/>
  <c r="Z293" i="38"/>
  <c r="Z294" i="38" s="1"/>
  <c r="Y293" i="38"/>
  <c r="X293" i="38"/>
  <c r="X294" i="38" s="1"/>
  <c r="W293" i="38"/>
  <c r="V293" i="38"/>
  <c r="V294" i="38" s="1"/>
  <c r="U293" i="38"/>
  <c r="V17" i="37" s="1"/>
  <c r="T293" i="38"/>
  <c r="S293" i="38"/>
  <c r="R293" i="38"/>
  <c r="R294" i="38" s="1"/>
  <c r="Q293" i="38"/>
  <c r="P293" i="38"/>
  <c r="P294" i="38" s="1"/>
  <c r="O293" i="38"/>
  <c r="N293" i="38"/>
  <c r="N294" i="38" s="1"/>
  <c r="M293" i="38"/>
  <c r="L294" i="38" s="1"/>
  <c r="L293" i="38"/>
  <c r="K293" i="38"/>
  <c r="J293" i="38"/>
  <c r="J294" i="38" s="1"/>
  <c r="I293" i="38"/>
  <c r="H293" i="38"/>
  <c r="H294" i="38" s="1"/>
  <c r="G293" i="38"/>
  <c r="F293" i="38"/>
  <c r="F294" i="38" s="1"/>
  <c r="E293" i="38"/>
  <c r="F17" i="37" s="1"/>
  <c r="D293" i="38"/>
  <c r="C293" i="38"/>
  <c r="B293" i="38"/>
  <c r="B294" i="38" s="1"/>
  <c r="AW260" i="38"/>
  <c r="AU260" i="38"/>
  <c r="AS260" i="38"/>
  <c r="AQ260" i="38"/>
  <c r="AO260" i="38"/>
  <c r="AM260" i="38"/>
  <c r="AN16" i="37" s="1"/>
  <c r="AK260" i="38"/>
  <c r="AI260" i="38"/>
  <c r="AJ16" i="37" s="1"/>
  <c r="AG260" i="38"/>
  <c r="AE260" i="38"/>
  <c r="AC260" i="38"/>
  <c r="AA260" i="38"/>
  <c r="Y260" i="38"/>
  <c r="W260" i="38"/>
  <c r="X16" i="37" s="1"/>
  <c r="U260" i="38"/>
  <c r="S260" i="38"/>
  <c r="T16" i="37" s="1"/>
  <c r="Q260" i="38"/>
  <c r="O260" i="38"/>
  <c r="M260" i="38"/>
  <c r="K260" i="38"/>
  <c r="I260" i="38"/>
  <c r="G260" i="38"/>
  <c r="H16" i="37" s="1"/>
  <c r="E260" i="38"/>
  <c r="C260" i="38"/>
  <c r="D16" i="37" s="1"/>
  <c r="AW228" i="38"/>
  <c r="AV228" i="38"/>
  <c r="AV229" i="38" s="1"/>
  <c r="AV260" i="38" s="1"/>
  <c r="AU228" i="38"/>
  <c r="AV11" i="37" s="1"/>
  <c r="AT228" i="38"/>
  <c r="AS228" i="38"/>
  <c r="AR229" i="38" s="1"/>
  <c r="AR260" i="38" s="1"/>
  <c r="AR228" i="38"/>
  <c r="AQ228" i="38"/>
  <c r="AP228" i="38"/>
  <c r="AO228" i="38"/>
  <c r="AN228" i="38"/>
  <c r="AN229" i="38" s="1"/>
  <c r="AN260" i="38" s="1"/>
  <c r="AM228" i="38"/>
  <c r="AN11" i="37" s="1"/>
  <c r="AL228" i="38"/>
  <c r="AK228" i="38"/>
  <c r="AJ228" i="38"/>
  <c r="AI228" i="38"/>
  <c r="AH228" i="38"/>
  <c r="AG228" i="38"/>
  <c r="AF228" i="38"/>
  <c r="AF229" i="38" s="1"/>
  <c r="AF260" i="38" s="1"/>
  <c r="AE228" i="38"/>
  <c r="AF11" i="37" s="1"/>
  <c r="AD228" i="38"/>
  <c r="AC228" i="38"/>
  <c r="AB229" i="38" s="1"/>
  <c r="AB260" i="38" s="1"/>
  <c r="AB228" i="38"/>
  <c r="AA228" i="38"/>
  <c r="Z228" i="38"/>
  <c r="Y228" i="38"/>
  <c r="X228" i="38"/>
  <c r="X229" i="38" s="1"/>
  <c r="X260" i="38" s="1"/>
  <c r="W228" i="38"/>
  <c r="X11" i="37" s="1"/>
  <c r="V228" i="38"/>
  <c r="U228" i="38"/>
  <c r="T228" i="38"/>
  <c r="S228" i="38"/>
  <c r="R228" i="38"/>
  <c r="Q228" i="38"/>
  <c r="P228" i="38"/>
  <c r="P229" i="38" s="1"/>
  <c r="P260" i="38" s="1"/>
  <c r="O228" i="38"/>
  <c r="P11" i="37" s="1"/>
  <c r="N228" i="38"/>
  <c r="M228" i="38"/>
  <c r="L229" i="38" s="1"/>
  <c r="L260" i="38" s="1"/>
  <c r="L228" i="38"/>
  <c r="K228" i="38"/>
  <c r="J228" i="38"/>
  <c r="I228" i="38"/>
  <c r="H228" i="38"/>
  <c r="H229" i="38" s="1"/>
  <c r="H260" i="38" s="1"/>
  <c r="G228" i="38"/>
  <c r="H11" i="37" s="1"/>
  <c r="F228" i="38"/>
  <c r="E228" i="38"/>
  <c r="F11" i="37" s="1"/>
  <c r="D228" i="38"/>
  <c r="C228" i="38"/>
  <c r="B228" i="38"/>
  <c r="AW195" i="38"/>
  <c r="AX10" i="37" s="1"/>
  <c r="AU195" i="38"/>
  <c r="AV10" i="37" s="1"/>
  <c r="AS195" i="38"/>
  <c r="AT10" i="37" s="1"/>
  <c r="AQ195" i="38"/>
  <c r="AO195" i="38"/>
  <c r="AM195" i="38"/>
  <c r="AK195" i="38"/>
  <c r="AI195" i="38"/>
  <c r="AJ10" i="37" s="1"/>
  <c r="AG195" i="38"/>
  <c r="AE195" i="38"/>
  <c r="AF10" i="37" s="1"/>
  <c r="AC195" i="38"/>
  <c r="AA195" i="38"/>
  <c r="Y195" i="38"/>
  <c r="W195" i="38"/>
  <c r="X10" i="37" s="1"/>
  <c r="U195" i="38"/>
  <c r="S195" i="38"/>
  <c r="T10" i="37" s="1"/>
  <c r="Q195" i="38"/>
  <c r="O195" i="38"/>
  <c r="P10" i="37" s="1"/>
  <c r="M195" i="38"/>
  <c r="K195" i="38"/>
  <c r="I195" i="38"/>
  <c r="G195" i="38"/>
  <c r="H10" i="37" s="1"/>
  <c r="E195" i="38"/>
  <c r="C195" i="38"/>
  <c r="X164" i="38"/>
  <c r="X195" i="38" s="1"/>
  <c r="Y10" i="37" s="1"/>
  <c r="AW163" i="38"/>
  <c r="AV163" i="38"/>
  <c r="AV164" i="38" s="1"/>
  <c r="AV195" i="38" s="1"/>
  <c r="AU163" i="38"/>
  <c r="AT163" i="38"/>
  <c r="AS163" i="38"/>
  <c r="AR164" i="38" s="1"/>
  <c r="AR195" i="38" s="1"/>
  <c r="AR163" i="38"/>
  <c r="AQ163" i="38"/>
  <c r="AR7" i="37" s="1"/>
  <c r="AP163" i="38"/>
  <c r="AO163" i="38"/>
  <c r="AN163" i="38"/>
  <c r="AN164" i="38" s="1"/>
  <c r="AN195" i="38" s="1"/>
  <c r="AM163" i="38"/>
  <c r="AL163" i="38"/>
  <c r="AL164" i="38" s="1"/>
  <c r="AL195" i="38" s="1"/>
  <c r="AK163" i="38"/>
  <c r="AL7" i="37" s="1"/>
  <c r="AJ163" i="38"/>
  <c r="AI163" i="38"/>
  <c r="AJ7" i="37" s="1"/>
  <c r="AH163" i="38"/>
  <c r="AG163" i="38"/>
  <c r="AF163" i="38"/>
  <c r="AF164" i="38" s="1"/>
  <c r="AF195" i="38" s="1"/>
  <c r="AE163" i="38"/>
  <c r="AD163" i="38"/>
  <c r="AD164" i="38" s="1"/>
  <c r="AD195" i="38" s="1"/>
  <c r="AC163" i="38"/>
  <c r="AB164" i="38" s="1"/>
  <c r="AB195" i="38" s="1"/>
  <c r="AB163" i="38"/>
  <c r="AA163" i="38"/>
  <c r="AB7" i="37" s="1"/>
  <c r="Z163" i="38"/>
  <c r="Y163" i="38"/>
  <c r="X163" i="38"/>
  <c r="W163" i="38"/>
  <c r="V163" i="38"/>
  <c r="V164" i="38" s="1"/>
  <c r="V195" i="38" s="1"/>
  <c r="U163" i="38"/>
  <c r="V7" i="37" s="1"/>
  <c r="T163" i="38"/>
  <c r="S163" i="38"/>
  <c r="T7" i="37" s="1"/>
  <c r="R163" i="38"/>
  <c r="Q163" i="38"/>
  <c r="P163" i="38"/>
  <c r="P164" i="38" s="1"/>
  <c r="P195" i="38" s="1"/>
  <c r="O163" i="38"/>
  <c r="N163" i="38"/>
  <c r="N164" i="38" s="1"/>
  <c r="N195" i="38" s="1"/>
  <c r="M163" i="38"/>
  <c r="L164" i="38" s="1"/>
  <c r="L195" i="38" s="1"/>
  <c r="L163" i="38"/>
  <c r="K163" i="38"/>
  <c r="L7" i="37" s="1"/>
  <c r="J163" i="38"/>
  <c r="I163" i="38"/>
  <c r="H163" i="38"/>
  <c r="H164" i="38" s="1"/>
  <c r="H195" i="38" s="1"/>
  <c r="H196" i="38" s="1"/>
  <c r="G163" i="38"/>
  <c r="F163" i="38"/>
  <c r="F164" i="38" s="1"/>
  <c r="F195" i="38" s="1"/>
  <c r="E163" i="38"/>
  <c r="F7" i="37" s="1"/>
  <c r="D163" i="38"/>
  <c r="C163" i="38"/>
  <c r="D7" i="37" s="1"/>
  <c r="B163" i="38"/>
  <c r="AW130" i="38"/>
  <c r="AX6" i="37" s="1"/>
  <c r="AV130" i="38"/>
  <c r="AU130" i="38"/>
  <c r="AT130" i="38"/>
  <c r="AT131" i="38" s="1"/>
  <c r="AS130" i="38"/>
  <c r="AR130" i="38"/>
  <c r="AR131" i="38" s="1"/>
  <c r="AQ130" i="38"/>
  <c r="AP130" i="38"/>
  <c r="AP131" i="38" s="1"/>
  <c r="AO130" i="38"/>
  <c r="AP6" i="37" s="1"/>
  <c r="AN130" i="38"/>
  <c r="AM130" i="38"/>
  <c r="AL130" i="38"/>
  <c r="AL131" i="38" s="1"/>
  <c r="AK130" i="38"/>
  <c r="AJ130" i="38"/>
  <c r="AJ131" i="38" s="1"/>
  <c r="AI130" i="38"/>
  <c r="AH130" i="38"/>
  <c r="AH131" i="38" s="1"/>
  <c r="AG130" i="38"/>
  <c r="AH6" i="37" s="1"/>
  <c r="AF130" i="38"/>
  <c r="AE130" i="38"/>
  <c r="AD130" i="38"/>
  <c r="AD131" i="38" s="1"/>
  <c r="AC130" i="38"/>
  <c r="AB130" i="38"/>
  <c r="AA130" i="38"/>
  <c r="AB6" i="37" s="1"/>
  <c r="Z130" i="38"/>
  <c r="Z131" i="38" s="1"/>
  <c r="Y130" i="38"/>
  <c r="Z6" i="37" s="1"/>
  <c r="X130" i="38"/>
  <c r="W130" i="38"/>
  <c r="V130" i="38"/>
  <c r="V131" i="38" s="1"/>
  <c r="U130" i="38"/>
  <c r="T130" i="38"/>
  <c r="T131" i="38" s="1"/>
  <c r="S130" i="38"/>
  <c r="T6" i="37" s="1"/>
  <c r="R130" i="38"/>
  <c r="R131" i="38" s="1"/>
  <c r="Q130" i="38"/>
  <c r="R6" i="37" s="1"/>
  <c r="P130" i="38"/>
  <c r="O130" i="38"/>
  <c r="N130" i="38"/>
  <c r="N131" i="38" s="1"/>
  <c r="M130" i="38"/>
  <c r="L130" i="38"/>
  <c r="L131" i="38" s="1"/>
  <c r="K130" i="38"/>
  <c r="L6" i="37" s="1"/>
  <c r="J130" i="38"/>
  <c r="J131" i="38" s="1"/>
  <c r="I130" i="38"/>
  <c r="J6" i="37" s="1"/>
  <c r="H130" i="38"/>
  <c r="G130" i="38"/>
  <c r="F130" i="38"/>
  <c r="F131" i="38" s="1"/>
  <c r="E130" i="38"/>
  <c r="D130" i="38"/>
  <c r="D131" i="38" s="1"/>
  <c r="C130" i="38"/>
  <c r="D6" i="37" s="1"/>
  <c r="B130" i="38"/>
  <c r="B131" i="38" s="1"/>
  <c r="AW99" i="38"/>
  <c r="AX5" i="37" s="1"/>
  <c r="AV99" i="38"/>
  <c r="AV100" i="38" s="1"/>
  <c r="AU99" i="38"/>
  <c r="AT99" i="38"/>
  <c r="AT100" i="38" s="1"/>
  <c r="AS99" i="38"/>
  <c r="AR99" i="38"/>
  <c r="AQ99" i="38"/>
  <c r="AP99" i="38"/>
  <c r="AP100" i="38" s="1"/>
  <c r="AO99" i="38"/>
  <c r="AP5" i="37" s="1"/>
  <c r="AN99" i="38"/>
  <c r="AN100" i="38" s="1"/>
  <c r="AM99" i="38"/>
  <c r="AL99" i="38"/>
  <c r="AL100" i="38" s="1"/>
  <c r="AK99" i="38"/>
  <c r="AJ99" i="38"/>
  <c r="AJ100" i="38" s="1"/>
  <c r="AI99" i="38"/>
  <c r="AH99" i="38"/>
  <c r="AH100" i="38" s="1"/>
  <c r="AG99" i="38"/>
  <c r="AH5" i="37" s="1"/>
  <c r="AF99" i="38"/>
  <c r="AF100" i="38" s="1"/>
  <c r="AE99" i="38"/>
  <c r="AD99" i="38"/>
  <c r="AD100" i="38" s="1"/>
  <c r="AC99" i="38"/>
  <c r="AB99" i="38"/>
  <c r="AA99" i="38"/>
  <c r="Z99" i="38"/>
  <c r="Z100" i="38" s="1"/>
  <c r="Y99" i="38"/>
  <c r="Z5" i="37" s="1"/>
  <c r="X99" i="38"/>
  <c r="Y5" i="37" s="1"/>
  <c r="W99" i="38"/>
  <c r="V99" i="38"/>
  <c r="V100" i="38" s="1"/>
  <c r="U99" i="38"/>
  <c r="T99" i="38"/>
  <c r="T100" i="38" s="1"/>
  <c r="S99" i="38"/>
  <c r="R99" i="38"/>
  <c r="R100" i="38" s="1"/>
  <c r="Q99" i="38"/>
  <c r="R5" i="37" s="1"/>
  <c r="P99" i="38"/>
  <c r="P100" i="38" s="1"/>
  <c r="O99" i="38"/>
  <c r="N99" i="38"/>
  <c r="N100" i="38" s="1"/>
  <c r="M99" i="38"/>
  <c r="L99" i="38"/>
  <c r="K99" i="38"/>
  <c r="J99" i="38"/>
  <c r="J100" i="38" s="1"/>
  <c r="I99" i="38"/>
  <c r="J5" i="37" s="1"/>
  <c r="H99" i="38"/>
  <c r="I5" i="37" s="1"/>
  <c r="G99" i="38"/>
  <c r="F99" i="38"/>
  <c r="F100" i="38" s="1"/>
  <c r="E99" i="38"/>
  <c r="D99" i="38"/>
  <c r="D100" i="38" s="1"/>
  <c r="C99" i="38"/>
  <c r="B99" i="38"/>
  <c r="B100" i="38" s="1"/>
  <c r="H67" i="38"/>
  <c r="AW66" i="38"/>
  <c r="AV66" i="38"/>
  <c r="AV67" i="38" s="1"/>
  <c r="AU66" i="38"/>
  <c r="AT66" i="38"/>
  <c r="AT67" i="38" s="1"/>
  <c r="AS66" i="38"/>
  <c r="AR66" i="38"/>
  <c r="AR67" i="38" s="1"/>
  <c r="AQ66" i="38"/>
  <c r="AP66" i="38"/>
  <c r="AP67" i="38" s="1"/>
  <c r="AO66" i="38"/>
  <c r="AN66" i="38"/>
  <c r="AN67" i="38" s="1"/>
  <c r="AM66" i="38"/>
  <c r="AL66" i="38"/>
  <c r="AL67" i="38" s="1"/>
  <c r="AK66" i="38"/>
  <c r="AJ66" i="38"/>
  <c r="AJ67" i="38" s="1"/>
  <c r="AI66" i="38"/>
  <c r="AH66" i="38"/>
  <c r="AH67" i="38" s="1"/>
  <c r="AG66" i="38"/>
  <c r="AF66" i="38"/>
  <c r="AF67" i="38" s="1"/>
  <c r="AE66" i="38"/>
  <c r="AD66" i="38"/>
  <c r="AD67" i="38" s="1"/>
  <c r="AC66" i="38"/>
  <c r="AB67" i="38" s="1"/>
  <c r="AB66" i="38"/>
  <c r="AA66" i="38"/>
  <c r="Z66" i="38"/>
  <c r="Z67" i="38" s="1"/>
  <c r="Y66" i="38"/>
  <c r="X66" i="38"/>
  <c r="X67" i="38" s="1"/>
  <c r="W66" i="38"/>
  <c r="V66" i="38"/>
  <c r="V67" i="38" s="1"/>
  <c r="U66" i="38"/>
  <c r="T66" i="38"/>
  <c r="T67" i="38" s="1"/>
  <c r="S66" i="38"/>
  <c r="R66" i="38"/>
  <c r="R67" i="38" s="1"/>
  <c r="Q66" i="38"/>
  <c r="P66" i="38"/>
  <c r="P67" i="38" s="1"/>
  <c r="O66" i="38"/>
  <c r="N66" i="38"/>
  <c r="N67" i="38" s="1"/>
  <c r="M66" i="38"/>
  <c r="L66" i="38"/>
  <c r="L67" i="38" s="1"/>
  <c r="K66" i="38"/>
  <c r="J66" i="38"/>
  <c r="J67" i="38" s="1"/>
  <c r="I66" i="38"/>
  <c r="H66" i="38"/>
  <c r="G66" i="38"/>
  <c r="F66" i="38"/>
  <c r="F67" i="38" s="1"/>
  <c r="E66" i="38"/>
  <c r="D66" i="38"/>
  <c r="D67" i="38" s="1"/>
  <c r="C66" i="38"/>
  <c r="B66" i="38"/>
  <c r="B67" i="38" s="1"/>
  <c r="AW33" i="38"/>
  <c r="AX3" i="37" s="1"/>
  <c r="AV33" i="38"/>
  <c r="AU33" i="38"/>
  <c r="AT33" i="38"/>
  <c r="AT34" i="38" s="1"/>
  <c r="AS33" i="38"/>
  <c r="AR33" i="38"/>
  <c r="AQ33" i="38"/>
  <c r="AP33" i="38"/>
  <c r="AP34" i="38" s="1"/>
  <c r="AO33" i="38"/>
  <c r="AP3" i="37" s="1"/>
  <c r="AN33" i="38"/>
  <c r="AN34" i="38" s="1"/>
  <c r="AM33" i="38"/>
  <c r="AL33" i="38"/>
  <c r="AL34" i="38" s="1"/>
  <c r="AK33" i="38"/>
  <c r="AJ33" i="38"/>
  <c r="AJ34" i="38" s="1"/>
  <c r="AI33" i="38"/>
  <c r="AH33" i="38"/>
  <c r="AH34" i="38" s="1"/>
  <c r="AG33" i="38"/>
  <c r="AH3" i="37" s="1"/>
  <c r="AF33" i="38"/>
  <c r="AE33" i="38"/>
  <c r="AD33" i="38"/>
  <c r="AD34" i="38" s="1"/>
  <c r="AC33" i="38"/>
  <c r="AB33" i="38"/>
  <c r="AA33" i="38"/>
  <c r="Z33" i="38"/>
  <c r="Z34" i="38" s="1"/>
  <c r="Y33" i="38"/>
  <c r="Z3" i="37" s="1"/>
  <c r="X33" i="38"/>
  <c r="X34" i="38" s="1"/>
  <c r="W33" i="38"/>
  <c r="V33" i="38"/>
  <c r="V34" i="38" s="1"/>
  <c r="U33" i="38"/>
  <c r="T33" i="38"/>
  <c r="T34" i="38" s="1"/>
  <c r="S33" i="38"/>
  <c r="R33" i="38"/>
  <c r="R34" i="38" s="1"/>
  <c r="Q33" i="38"/>
  <c r="R3" i="37" s="1"/>
  <c r="P33" i="38"/>
  <c r="O33" i="38"/>
  <c r="N33" i="38"/>
  <c r="N34" i="38" s="1"/>
  <c r="M33" i="38"/>
  <c r="L33" i="38"/>
  <c r="K33" i="38"/>
  <c r="J33" i="38"/>
  <c r="J34" i="38" s="1"/>
  <c r="I33" i="38"/>
  <c r="J3" i="37" s="1"/>
  <c r="H33" i="38"/>
  <c r="H34" i="38" s="1"/>
  <c r="G33" i="38"/>
  <c r="F33" i="38"/>
  <c r="F34" i="38" s="1"/>
  <c r="E33" i="38"/>
  <c r="D33" i="38"/>
  <c r="D34" i="38" s="1"/>
  <c r="C33" i="38"/>
  <c r="B33" i="38"/>
  <c r="B34" i="38" s="1"/>
  <c r="AX18" i="37"/>
  <c r="AV18" i="37"/>
  <c r="AU18" i="37"/>
  <c r="AT18" i="37"/>
  <c r="AR18" i="37"/>
  <c r="AQ18" i="37"/>
  <c r="AP18" i="37"/>
  <c r="AN18" i="37"/>
  <c r="AM18" i="37"/>
  <c r="AL18" i="37"/>
  <c r="AJ18" i="37"/>
  <c r="AI18" i="37"/>
  <c r="AH18" i="37"/>
  <c r="AF18" i="37"/>
  <c r="AE18" i="37"/>
  <c r="AD18" i="37"/>
  <c r="AB18" i="37"/>
  <c r="AA18" i="37"/>
  <c r="Z18" i="37"/>
  <c r="X18" i="37"/>
  <c r="W18" i="37"/>
  <c r="V18" i="37"/>
  <c r="T18" i="37"/>
  <c r="S18" i="37"/>
  <c r="R18" i="37"/>
  <c r="P18" i="37"/>
  <c r="O18" i="37"/>
  <c r="N18" i="37"/>
  <c r="L18" i="37"/>
  <c r="K18" i="37"/>
  <c r="J18" i="37"/>
  <c r="H18" i="37"/>
  <c r="G18" i="37"/>
  <c r="F18" i="37"/>
  <c r="D18" i="37"/>
  <c r="AX17" i="37"/>
  <c r="AW17" i="37"/>
  <c r="AV17" i="37"/>
  <c r="AU17" i="37"/>
  <c r="AS17" i="37"/>
  <c r="AR17" i="37"/>
  <c r="AQ17" i="37"/>
  <c r="AP17" i="37"/>
  <c r="AO17" i="37"/>
  <c r="AN17" i="37"/>
  <c r="AM17" i="37"/>
  <c r="AK17" i="37"/>
  <c r="AJ17" i="37"/>
  <c r="AI17" i="37"/>
  <c r="AH17" i="37"/>
  <c r="AG17" i="37"/>
  <c r="AF17" i="37"/>
  <c r="AE17" i="37"/>
  <c r="AC17" i="37"/>
  <c r="AB17" i="37"/>
  <c r="AA17" i="37"/>
  <c r="Z17" i="37"/>
  <c r="Y17" i="37"/>
  <c r="X17" i="37"/>
  <c r="W17" i="37"/>
  <c r="U17" i="37"/>
  <c r="T17" i="37"/>
  <c r="S17" i="37"/>
  <c r="R17" i="37"/>
  <c r="Q17" i="37"/>
  <c r="P17" i="37"/>
  <c r="O17" i="37"/>
  <c r="M17" i="37"/>
  <c r="L17" i="37"/>
  <c r="K17" i="37"/>
  <c r="J17" i="37"/>
  <c r="I17" i="37"/>
  <c r="H17" i="37"/>
  <c r="G17" i="37"/>
  <c r="E17" i="37"/>
  <c r="D17" i="37"/>
  <c r="C17" i="37"/>
  <c r="AX16" i="37"/>
  <c r="AV16" i="37"/>
  <c r="AT16" i="37"/>
  <c r="AR16" i="37"/>
  <c r="AP16" i="37"/>
  <c r="AL16" i="37"/>
  <c r="AH16" i="37"/>
  <c r="AF16" i="37"/>
  <c r="AD16" i="37"/>
  <c r="AB16" i="37"/>
  <c r="Z16" i="37"/>
  <c r="V16" i="37"/>
  <c r="R16" i="37"/>
  <c r="P16" i="37"/>
  <c r="N16" i="37"/>
  <c r="L16" i="37"/>
  <c r="J16" i="37"/>
  <c r="F16" i="37"/>
  <c r="AX13" i="37"/>
  <c r="AW13" i="37"/>
  <c r="AV13" i="37"/>
  <c r="AU13" i="37"/>
  <c r="AT13" i="37"/>
  <c r="AS13" i="37"/>
  <c r="AR13" i="37"/>
  <c r="AP13" i="37"/>
  <c r="AO13" i="37"/>
  <c r="AN13" i="37"/>
  <c r="AM13" i="37"/>
  <c r="AL13" i="37"/>
  <c r="AK13" i="37"/>
  <c r="AJ13" i="37"/>
  <c r="AH13" i="37"/>
  <c r="AG13" i="37"/>
  <c r="AF13" i="37"/>
  <c r="AE13" i="37"/>
  <c r="AD13" i="37"/>
  <c r="AC13" i="37"/>
  <c r="AB13" i="37"/>
  <c r="Z13" i="37"/>
  <c r="Y13" i="37"/>
  <c r="X13" i="37"/>
  <c r="W13" i="37"/>
  <c r="V13" i="37"/>
  <c r="U13" i="37"/>
  <c r="T13" i="37"/>
  <c r="R13" i="37"/>
  <c r="Q13" i="37"/>
  <c r="P13" i="37"/>
  <c r="O13" i="37"/>
  <c r="N13" i="37"/>
  <c r="M13" i="37"/>
  <c r="L13" i="37"/>
  <c r="J13" i="37"/>
  <c r="I13" i="37"/>
  <c r="H13" i="37"/>
  <c r="G13" i="37"/>
  <c r="F13" i="37"/>
  <c r="E13" i="37"/>
  <c r="D13" i="37"/>
  <c r="AV12" i="37"/>
  <c r="AT12" i="37"/>
  <c r="AR12" i="37"/>
  <c r="AP12" i="37"/>
  <c r="AN12" i="37"/>
  <c r="AL12" i="37"/>
  <c r="AJ12" i="37"/>
  <c r="AF12" i="37"/>
  <c r="AD12" i="37"/>
  <c r="AB12" i="37"/>
  <c r="Z12" i="37"/>
  <c r="X12" i="37"/>
  <c r="V12" i="37"/>
  <c r="T12" i="37"/>
  <c r="P12" i="37"/>
  <c r="N12" i="37"/>
  <c r="L12" i="37"/>
  <c r="J12" i="37"/>
  <c r="H12" i="37"/>
  <c r="F12" i="37"/>
  <c r="D12" i="37"/>
  <c r="AX11" i="37"/>
  <c r="AW11" i="37"/>
  <c r="AU11" i="37"/>
  <c r="AT11" i="37"/>
  <c r="AS11" i="37"/>
  <c r="AR11" i="37"/>
  <c r="AQ11" i="37"/>
  <c r="AP11" i="37"/>
  <c r="AO11" i="37"/>
  <c r="AM11" i="37"/>
  <c r="AL11" i="37"/>
  <c r="AK11" i="37"/>
  <c r="AJ11" i="37"/>
  <c r="AI11" i="37"/>
  <c r="AH11" i="37"/>
  <c r="AG11" i="37"/>
  <c r="AE11" i="37"/>
  <c r="AD11" i="37"/>
  <c r="AC11" i="37"/>
  <c r="AB11" i="37"/>
  <c r="AA11" i="37"/>
  <c r="Z11" i="37"/>
  <c r="Y11" i="37"/>
  <c r="W11" i="37"/>
  <c r="V11" i="37"/>
  <c r="U11" i="37"/>
  <c r="T11" i="37"/>
  <c r="S11" i="37"/>
  <c r="R11" i="37"/>
  <c r="Q11" i="37"/>
  <c r="O11" i="37"/>
  <c r="N11" i="37"/>
  <c r="M11" i="37"/>
  <c r="L11" i="37"/>
  <c r="K11" i="37"/>
  <c r="J11" i="37"/>
  <c r="I11" i="37"/>
  <c r="G11" i="37"/>
  <c r="E11" i="37"/>
  <c r="D11" i="37"/>
  <c r="C11" i="37"/>
  <c r="AW10" i="37"/>
  <c r="AR10" i="37"/>
  <c r="AP10" i="37"/>
  <c r="AN10" i="37"/>
  <c r="AL10" i="37"/>
  <c r="AH10" i="37"/>
  <c r="AG10" i="37"/>
  <c r="AD10" i="37"/>
  <c r="AB10" i="37"/>
  <c r="Z10" i="37"/>
  <c r="V10" i="37"/>
  <c r="R10" i="37"/>
  <c r="Q10" i="37"/>
  <c r="N10" i="37"/>
  <c r="L10" i="37"/>
  <c r="J10" i="37"/>
  <c r="F10" i="37"/>
  <c r="D10" i="37"/>
  <c r="AX7" i="37"/>
  <c r="AW7" i="37"/>
  <c r="AV7" i="37"/>
  <c r="AU7" i="37"/>
  <c r="AS7" i="37"/>
  <c r="AQ7" i="37"/>
  <c r="AP7" i="37"/>
  <c r="AO7" i="37"/>
  <c r="AN7" i="37"/>
  <c r="AM7" i="37"/>
  <c r="AK7" i="37"/>
  <c r="AI7" i="37"/>
  <c r="AH7" i="37"/>
  <c r="AG7" i="37"/>
  <c r="AF7" i="37"/>
  <c r="AE7" i="37"/>
  <c r="AC7" i="37"/>
  <c r="AA7" i="37"/>
  <c r="Z7" i="37"/>
  <c r="Y7" i="37"/>
  <c r="X7" i="37"/>
  <c r="W7" i="37"/>
  <c r="U7" i="37"/>
  <c r="S7" i="37"/>
  <c r="R7" i="37"/>
  <c r="Q7" i="37"/>
  <c r="P7" i="37"/>
  <c r="O7" i="37"/>
  <c r="M7" i="37"/>
  <c r="K7" i="37"/>
  <c r="J7" i="37"/>
  <c r="I7" i="37"/>
  <c r="H7" i="37"/>
  <c r="G7" i="37"/>
  <c r="E7" i="37"/>
  <c r="C7" i="37"/>
  <c r="AW6" i="37"/>
  <c r="AV6" i="37"/>
  <c r="AT6" i="37"/>
  <c r="AS6" i="37"/>
  <c r="AR6" i="37"/>
  <c r="AO6" i="37"/>
  <c r="AN6" i="37"/>
  <c r="AL6" i="37"/>
  <c r="AK6" i="37"/>
  <c r="AJ6" i="37"/>
  <c r="AG6" i="37"/>
  <c r="AF6" i="37"/>
  <c r="AD6" i="37"/>
  <c r="AC6" i="37"/>
  <c r="Y6" i="37"/>
  <c r="X6" i="37"/>
  <c r="V6" i="37"/>
  <c r="U6" i="37"/>
  <c r="Q6" i="37"/>
  <c r="P6" i="37"/>
  <c r="N6" i="37"/>
  <c r="M6" i="37"/>
  <c r="I6" i="37"/>
  <c r="H6" i="37"/>
  <c r="F6" i="37"/>
  <c r="E6" i="37"/>
  <c r="AV5" i="37"/>
  <c r="AU5" i="37"/>
  <c r="AT5" i="37"/>
  <c r="AS5" i="37"/>
  <c r="AR5" i="37"/>
  <c r="AQ5" i="37"/>
  <c r="AN5" i="37"/>
  <c r="AM5" i="37"/>
  <c r="AL5" i="37"/>
  <c r="AK5" i="37"/>
  <c r="AJ5" i="37"/>
  <c r="AI5" i="37"/>
  <c r="AF5" i="37"/>
  <c r="AE5" i="37"/>
  <c r="AD5" i="37"/>
  <c r="AC5" i="37"/>
  <c r="AB5" i="37"/>
  <c r="AA5" i="37"/>
  <c r="X5" i="37"/>
  <c r="W5" i="37"/>
  <c r="V5" i="37"/>
  <c r="U5" i="37"/>
  <c r="T5" i="37"/>
  <c r="S5" i="37"/>
  <c r="P5" i="37"/>
  <c r="O5" i="37"/>
  <c r="N5" i="37"/>
  <c r="M5" i="37"/>
  <c r="L5" i="37"/>
  <c r="K5" i="37"/>
  <c r="H5" i="37"/>
  <c r="F5" i="37"/>
  <c r="E5" i="37"/>
  <c r="D5" i="37"/>
  <c r="C5" i="37"/>
  <c r="AX4" i="37"/>
  <c r="AW4" i="37"/>
  <c r="AV4" i="37"/>
  <c r="AU4" i="37"/>
  <c r="AT4" i="37"/>
  <c r="AS4" i="37"/>
  <c r="AR4" i="37"/>
  <c r="AP4" i="37"/>
  <c r="AO4" i="37"/>
  <c r="AN4" i="37"/>
  <c r="AM4" i="37"/>
  <c r="AL4" i="37"/>
  <c r="AK4" i="37"/>
  <c r="AJ4" i="37"/>
  <c r="AH4" i="37"/>
  <c r="AG4" i="37"/>
  <c r="AF4" i="37"/>
  <c r="AE4" i="37"/>
  <c r="AD4" i="37"/>
  <c r="AC4" i="37"/>
  <c r="AB4" i="37"/>
  <c r="Z4" i="37"/>
  <c r="Y4" i="37"/>
  <c r="X4" i="37"/>
  <c r="W4" i="37"/>
  <c r="V4" i="37"/>
  <c r="U4" i="37"/>
  <c r="T4" i="37"/>
  <c r="R4" i="37"/>
  <c r="Q4" i="37"/>
  <c r="P4" i="37"/>
  <c r="O4" i="37"/>
  <c r="N4" i="37"/>
  <c r="M4" i="37"/>
  <c r="L4" i="37"/>
  <c r="J4" i="37"/>
  <c r="I4" i="37"/>
  <c r="H4" i="37"/>
  <c r="G4" i="37"/>
  <c r="F4" i="37"/>
  <c r="E4" i="37"/>
  <c r="D4" i="37"/>
  <c r="AW3" i="37"/>
  <c r="AV3" i="37"/>
  <c r="AU3" i="37"/>
  <c r="AT3" i="37"/>
  <c r="AS3" i="37"/>
  <c r="AR3" i="37"/>
  <c r="AQ3" i="37"/>
  <c r="AO3" i="37"/>
  <c r="AN3" i="37"/>
  <c r="AM3" i="37"/>
  <c r="AL3" i="37"/>
  <c r="AK3" i="37"/>
  <c r="AJ3" i="37"/>
  <c r="AI3" i="37"/>
  <c r="AG3" i="37"/>
  <c r="AF3" i="37"/>
  <c r="AE3" i="37"/>
  <c r="AD3" i="37"/>
  <c r="AC3" i="37"/>
  <c r="AB3" i="37"/>
  <c r="AA3" i="37"/>
  <c r="Y3" i="37"/>
  <c r="X3" i="37"/>
  <c r="W3" i="37"/>
  <c r="V3" i="37"/>
  <c r="U3" i="37"/>
  <c r="T3" i="37"/>
  <c r="S3" i="37"/>
  <c r="Q3" i="37"/>
  <c r="P3" i="37"/>
  <c r="O3" i="37"/>
  <c r="N3" i="37"/>
  <c r="M3" i="37"/>
  <c r="L3" i="37"/>
  <c r="K3" i="37"/>
  <c r="I3" i="37"/>
  <c r="H3" i="37"/>
  <c r="G3" i="37"/>
  <c r="F3" i="37"/>
  <c r="E3" i="37"/>
  <c r="D3" i="37"/>
  <c r="C3" i="37"/>
  <c r="J24" i="39" l="1"/>
  <c r="J31" i="39"/>
  <c r="AO10" i="37"/>
  <c r="AO15" i="37" s="1"/>
  <c r="AN196" i="38"/>
  <c r="AT164" i="38"/>
  <c r="AT195" i="38" s="1"/>
  <c r="N7" i="37"/>
  <c r="M9" i="37" s="1"/>
  <c r="AD7" i="37"/>
  <c r="AC8" i="37" s="1"/>
  <c r="AT7" i="37"/>
  <c r="AS8" i="37" s="1"/>
  <c r="B164" i="38"/>
  <c r="B195" i="38" s="1"/>
  <c r="B196" i="38" s="1"/>
  <c r="J164" i="38"/>
  <c r="J195" i="38" s="1"/>
  <c r="J196" i="38" s="1"/>
  <c r="R164" i="38"/>
  <c r="R195" i="38" s="1"/>
  <c r="R196" i="38" s="1"/>
  <c r="Z164" i="38"/>
  <c r="Z195" i="38" s="1"/>
  <c r="AH164" i="38"/>
  <c r="AH195" i="38" s="1"/>
  <c r="AH196" i="38" s="1"/>
  <c r="AP164" i="38"/>
  <c r="AP195" i="38" s="1"/>
  <c r="D164" i="38"/>
  <c r="D195" i="38" s="1"/>
  <c r="D196" i="38" s="1"/>
  <c r="T164" i="38"/>
  <c r="T195" i="38" s="1"/>
  <c r="T196" i="38" s="1"/>
  <c r="AJ164" i="38"/>
  <c r="AJ195" i="38" s="1"/>
  <c r="S10" i="37"/>
  <c r="F196" i="38"/>
  <c r="N196" i="38"/>
  <c r="C10" i="37"/>
  <c r="P196" i="38"/>
  <c r="AF196" i="38"/>
  <c r="AV196" i="38"/>
  <c r="I10" i="37"/>
  <c r="I14" i="37" s="1"/>
  <c r="AI10" i="37"/>
  <c r="I16" i="37"/>
  <c r="H261" i="38"/>
  <c r="Y16" i="37"/>
  <c r="X261" i="38"/>
  <c r="AO16" i="37"/>
  <c r="AN261" i="38"/>
  <c r="B229" i="38"/>
  <c r="B260" i="38" s="1"/>
  <c r="B261" i="38" s="1"/>
  <c r="J229" i="38"/>
  <c r="J260" i="38" s="1"/>
  <c r="R229" i="38"/>
  <c r="R260" i="38" s="1"/>
  <c r="R261" i="38" s="1"/>
  <c r="Z229" i="38"/>
  <c r="Z260" i="38" s="1"/>
  <c r="AH229" i="38"/>
  <c r="AH260" i="38" s="1"/>
  <c r="AP229" i="38"/>
  <c r="AP260" i="38" s="1"/>
  <c r="D229" i="38"/>
  <c r="D260" i="38" s="1"/>
  <c r="D261" i="38" s="1"/>
  <c r="T229" i="38"/>
  <c r="T260" i="38" s="1"/>
  <c r="AJ229" i="38"/>
  <c r="AJ260" i="38" s="1"/>
  <c r="AJ261" i="38" s="1"/>
  <c r="F229" i="38"/>
  <c r="F260" i="38" s="1"/>
  <c r="N229" i="38"/>
  <c r="N260" i="38" s="1"/>
  <c r="N261" i="38" s="1"/>
  <c r="V229" i="38"/>
  <c r="V260" i="38" s="1"/>
  <c r="AD229" i="38"/>
  <c r="AD260" i="38" s="1"/>
  <c r="AL229" i="38"/>
  <c r="AL260" i="38" s="1"/>
  <c r="AT229" i="38"/>
  <c r="AT260" i="38" s="1"/>
  <c r="AT261" i="38" s="1"/>
  <c r="D294" i="38"/>
  <c r="T294" i="38"/>
  <c r="AJ294" i="38"/>
  <c r="N17" i="37"/>
  <c r="AD17" i="37"/>
  <c r="AT17" i="37"/>
  <c r="AH294" i="38"/>
  <c r="AP294" i="38"/>
  <c r="Y20" i="37"/>
  <c r="AO20" i="37"/>
  <c r="E18" i="37"/>
  <c r="M18" i="37"/>
  <c r="U18" i="37"/>
  <c r="AK18" i="37"/>
  <c r="AB327" i="38"/>
  <c r="AB358" i="38" s="1"/>
  <c r="AC12" i="37" s="1"/>
  <c r="AR327" i="38"/>
  <c r="AR358" i="38" s="1"/>
  <c r="AS12" i="37" s="1"/>
  <c r="I18" i="37"/>
  <c r="Q18" i="37"/>
  <c r="AG18" i="37"/>
  <c r="AW18" i="37"/>
  <c r="C18" i="37"/>
  <c r="H359" i="38"/>
  <c r="X359" i="38"/>
  <c r="C13" i="37"/>
  <c r="K13" i="37"/>
  <c r="S13" i="37"/>
  <c r="AA13" i="37"/>
  <c r="AI13" i="37"/>
  <c r="AQ13" i="37"/>
  <c r="T392" i="38"/>
  <c r="AR392" i="38"/>
  <c r="P34" i="38"/>
  <c r="AF34" i="38"/>
  <c r="AV34" i="38"/>
  <c r="M8" i="37"/>
  <c r="AK8" i="37"/>
  <c r="L34" i="38"/>
  <c r="AB34" i="38"/>
  <c r="AR34" i="38"/>
  <c r="AK9" i="37"/>
  <c r="AC9" i="37"/>
  <c r="C4" i="37"/>
  <c r="K4" i="37"/>
  <c r="K9" i="37" s="1"/>
  <c r="S4" i="37"/>
  <c r="S9" i="37" s="1"/>
  <c r="AA4" i="37"/>
  <c r="AI4" i="37"/>
  <c r="AQ4" i="37"/>
  <c r="G5" i="37"/>
  <c r="H100" i="38"/>
  <c r="X100" i="38"/>
  <c r="Q5" i="37"/>
  <c r="AO5" i="37"/>
  <c r="AO9" i="37" s="1"/>
  <c r="AG5" i="37"/>
  <c r="AW5" i="37"/>
  <c r="L100" i="38"/>
  <c r="AB100" i="38"/>
  <c r="AR100" i="38"/>
  <c r="U8" i="37"/>
  <c r="U9" i="37"/>
  <c r="G6" i="37"/>
  <c r="G9" i="37" s="1"/>
  <c r="W8" i="37"/>
  <c r="W6" i="37"/>
  <c r="W9" i="37" s="1"/>
  <c r="AM8" i="37"/>
  <c r="AU6" i="37"/>
  <c r="X131" i="38"/>
  <c r="AN131" i="38"/>
  <c r="O6" i="37"/>
  <c r="AM6" i="37"/>
  <c r="AM9" i="37" s="1"/>
  <c r="AE6" i="37"/>
  <c r="AE8" i="37" s="1"/>
  <c r="E9" i="37"/>
  <c r="H131" i="38"/>
  <c r="AE9" i="37"/>
  <c r="E8" i="37"/>
  <c r="Q8" i="37"/>
  <c r="AG8" i="37"/>
  <c r="AW8" i="37"/>
  <c r="I9" i="37"/>
  <c r="Q9" i="37"/>
  <c r="Y9" i="37"/>
  <c r="AG9" i="37"/>
  <c r="AW9" i="37"/>
  <c r="AB131" i="38"/>
  <c r="I8" i="37"/>
  <c r="Y8" i="37"/>
  <c r="AO8" i="37"/>
  <c r="C6" i="37"/>
  <c r="C8" i="37" s="1"/>
  <c r="K6" i="37"/>
  <c r="K8" i="37" s="1"/>
  <c r="S6" i="37"/>
  <c r="S8" i="37" s="1"/>
  <c r="AA6" i="37"/>
  <c r="AA9" i="37" s="1"/>
  <c r="AI6" i="37"/>
  <c r="AI9" i="37" s="1"/>
  <c r="AQ6" i="37"/>
  <c r="AQ9" i="37" s="1"/>
  <c r="P131" i="38"/>
  <c r="AF131" i="38"/>
  <c r="AV131" i="38"/>
  <c r="F20" i="39"/>
  <c r="F37" i="39"/>
  <c r="J21" i="39"/>
  <c r="J26" i="39"/>
  <c r="J37" i="39"/>
  <c r="J39" i="39"/>
  <c r="H19" i="39"/>
  <c r="H33" i="39"/>
  <c r="H35" i="39"/>
  <c r="H25" i="39"/>
  <c r="H41" i="39"/>
  <c r="F26" i="39"/>
  <c r="F35" i="39"/>
  <c r="F28" i="39"/>
  <c r="F22" i="39"/>
  <c r="F31" i="39"/>
  <c r="F23" i="39"/>
  <c r="F40" i="39"/>
  <c r="F34" i="39"/>
  <c r="F19" i="39"/>
  <c r="F30" i="39"/>
  <c r="F36" i="39"/>
  <c r="F21" i="39"/>
  <c r="F32" i="39"/>
  <c r="F38" i="39"/>
  <c r="F27" i="39"/>
  <c r="F18" i="39"/>
  <c r="F24" i="39"/>
  <c r="F29" i="39"/>
  <c r="J25" i="39"/>
  <c r="J36" i="39"/>
  <c r="J22" i="39"/>
  <c r="J27" i="39"/>
  <c r="J32" i="39"/>
  <c r="J20" i="39"/>
  <c r="J28" i="39"/>
  <c r="J35" i="39"/>
  <c r="J40" i="39"/>
  <c r="J30" i="39"/>
  <c r="J34" i="39"/>
  <c r="J19" i="39"/>
  <c r="J23" i="39"/>
  <c r="J38" i="39"/>
  <c r="J18" i="39"/>
  <c r="J29" i="39"/>
  <c r="J33" i="39"/>
  <c r="Y14" i="37"/>
  <c r="Y15" i="37"/>
  <c r="L196" i="38"/>
  <c r="M10" i="37"/>
  <c r="AB196" i="38"/>
  <c r="AC10" i="37"/>
  <c r="AS10" i="37"/>
  <c r="AR196" i="38"/>
  <c r="AO14" i="37"/>
  <c r="M16" i="37"/>
  <c r="M20" i="37" s="1"/>
  <c r="L261" i="38"/>
  <c r="AC16" i="37"/>
  <c r="AC20" i="37" s="1"/>
  <c r="AB261" i="38"/>
  <c r="AS16" i="37"/>
  <c r="AR261" i="38"/>
  <c r="AK10" i="37"/>
  <c r="AJ196" i="38"/>
  <c r="P261" i="38"/>
  <c r="Q16" i="37"/>
  <c r="AF261" i="38"/>
  <c r="AG16" i="37"/>
  <c r="AG20" i="37" s="1"/>
  <c r="AV261" i="38"/>
  <c r="AW16" i="37"/>
  <c r="F359" i="38"/>
  <c r="G12" i="37"/>
  <c r="N359" i="38"/>
  <c r="O12" i="37"/>
  <c r="V359" i="38"/>
  <c r="W12" i="37"/>
  <c r="AD359" i="38"/>
  <c r="AE12" i="37"/>
  <c r="AL359" i="38"/>
  <c r="AM12" i="37"/>
  <c r="AT359" i="38"/>
  <c r="AU12" i="37"/>
  <c r="AD196" i="38"/>
  <c r="AE10" i="37"/>
  <c r="AT196" i="38"/>
  <c r="AU10" i="37"/>
  <c r="AA16" i="37"/>
  <c r="AA20" i="37" s="1"/>
  <c r="Z261" i="38"/>
  <c r="AH261" i="38"/>
  <c r="AI16" i="37"/>
  <c r="AI20" i="37" s="1"/>
  <c r="P359" i="38"/>
  <c r="Q12" i="37"/>
  <c r="AF359" i="38"/>
  <c r="AG12" i="37"/>
  <c r="AG15" i="37" s="1"/>
  <c r="AV359" i="38"/>
  <c r="AW12" i="37"/>
  <c r="AW15" i="37" s="1"/>
  <c r="L359" i="38"/>
  <c r="H40" i="39"/>
  <c r="H32" i="39"/>
  <c r="H24" i="39"/>
  <c r="H37" i="39"/>
  <c r="H29" i="39"/>
  <c r="H21" i="39"/>
  <c r="H34" i="39"/>
  <c r="H26" i="39"/>
  <c r="H18" i="39"/>
  <c r="H39" i="39"/>
  <c r="H31" i="39"/>
  <c r="H23" i="39"/>
  <c r="H36" i="39"/>
  <c r="H28" i="39"/>
  <c r="H20" i="39"/>
  <c r="H38" i="39"/>
  <c r="H30" i="39"/>
  <c r="H22" i="39"/>
  <c r="Q15" i="37"/>
  <c r="Q14" i="37"/>
  <c r="AL196" i="38"/>
  <c r="AM10" i="37"/>
  <c r="S16" i="37"/>
  <c r="S20" i="37" s="1"/>
  <c r="E10" i="37"/>
  <c r="E16" i="37"/>
  <c r="E20" i="37" s="1"/>
  <c r="U16" i="37"/>
  <c r="U20" i="37" s="1"/>
  <c r="T261" i="38"/>
  <c r="AK16" i="37"/>
  <c r="AK20" i="37" s="1"/>
  <c r="B359" i="38"/>
  <c r="C12" i="37"/>
  <c r="K12" i="37"/>
  <c r="J359" i="38"/>
  <c r="R359" i="38"/>
  <c r="S12" i="37"/>
  <c r="AA12" i="37"/>
  <c r="Z359" i="38"/>
  <c r="AH359" i="38"/>
  <c r="AI12" i="37"/>
  <c r="AI15" i="37" s="1"/>
  <c r="AQ12" i="37"/>
  <c r="AP359" i="38"/>
  <c r="AD392" i="38"/>
  <c r="AL392" i="38"/>
  <c r="AT392" i="38"/>
  <c r="V196" i="38"/>
  <c r="W10" i="37"/>
  <c r="K16" i="37"/>
  <c r="K20" i="37" s="1"/>
  <c r="J261" i="38"/>
  <c r="AQ16" i="37"/>
  <c r="AQ20" i="37" s="1"/>
  <c r="AP261" i="38"/>
  <c r="X196" i="38"/>
  <c r="F261" i="38"/>
  <c r="G16" i="37"/>
  <c r="G20" i="37" s="1"/>
  <c r="V261" i="38"/>
  <c r="W16" i="37"/>
  <c r="W20" i="37" s="1"/>
  <c r="AD261" i="38"/>
  <c r="AE16" i="37"/>
  <c r="AE20" i="37" s="1"/>
  <c r="AL261" i="38"/>
  <c r="AM16" i="37"/>
  <c r="AM20" i="37" s="1"/>
  <c r="E12" i="37"/>
  <c r="D359" i="38"/>
  <c r="U12" i="37"/>
  <c r="T359" i="38"/>
  <c r="AK12" i="37"/>
  <c r="AJ359" i="38"/>
  <c r="AN359" i="38"/>
  <c r="C16" i="37"/>
  <c r="C20" i="37" s="1"/>
  <c r="G10" i="37"/>
  <c r="O10" i="37"/>
  <c r="F25" i="39"/>
  <c r="F33" i="39"/>
  <c r="F41" i="39"/>
  <c r="S14" i="37" l="1"/>
  <c r="AS9" i="37"/>
  <c r="AP196" i="38"/>
  <c r="AQ10" i="37"/>
  <c r="AA15" i="37"/>
  <c r="U10" i="37"/>
  <c r="Z196" i="38"/>
  <c r="AA10" i="37"/>
  <c r="AQ15" i="37"/>
  <c r="K10" i="37"/>
  <c r="K15" i="37" s="1"/>
  <c r="I15" i="37"/>
  <c r="I20" i="37"/>
  <c r="AU16" i="37"/>
  <c r="AU20" i="37" s="1"/>
  <c r="O16" i="37"/>
  <c r="O20" i="37" s="1"/>
  <c r="AS20" i="37"/>
  <c r="AB359" i="38"/>
  <c r="AW14" i="37"/>
  <c r="Q20" i="37"/>
  <c r="AW20" i="37"/>
  <c r="AR359" i="38"/>
  <c r="AQ14" i="37"/>
  <c r="AG14" i="37"/>
  <c r="S15" i="37"/>
  <c r="K14" i="37"/>
  <c r="C15" i="37"/>
  <c r="AQ8" i="37"/>
  <c r="AU9" i="37"/>
  <c r="AU8" i="37"/>
  <c r="G8" i="37"/>
  <c r="O8" i="37"/>
  <c r="O9" i="37"/>
  <c r="C9" i="37"/>
  <c r="AI8" i="37"/>
  <c r="AA8" i="37"/>
  <c r="J43" i="39"/>
  <c r="M14" i="37"/>
  <c r="M15" i="37"/>
  <c r="W15" i="37"/>
  <c r="W14" i="37"/>
  <c r="C14" i="37"/>
  <c r="AI14" i="37"/>
  <c r="AK15" i="37"/>
  <c r="AK14" i="37"/>
  <c r="E15" i="37"/>
  <c r="E14" i="37"/>
  <c r="U15" i="37"/>
  <c r="U14" i="37"/>
  <c r="O15" i="37"/>
  <c r="O14" i="37"/>
  <c r="AU15" i="37"/>
  <c r="AU14" i="37"/>
  <c r="AA14" i="37"/>
  <c r="AS15" i="37"/>
  <c r="AS14" i="37"/>
  <c r="F43" i="39"/>
  <c r="G15" i="37"/>
  <c r="G14" i="37"/>
  <c r="AC14" i="37"/>
  <c r="AC15" i="37"/>
  <c r="AM15" i="37"/>
  <c r="AM14" i="37"/>
  <c r="H43" i="39"/>
  <c r="AE15" i="37"/>
  <c r="AE14" i="37"/>
  <c r="R5" i="12" l="1"/>
</calcChain>
</file>

<file path=xl/sharedStrings.xml><?xml version="1.0" encoding="utf-8"?>
<sst xmlns="http://schemas.openxmlformats.org/spreadsheetml/2006/main" count="228" uniqueCount="166">
  <si>
    <t>　　年　　月　　日　　</t>
    <rPh sb="2" eb="3">
      <t>ネン</t>
    </rPh>
    <rPh sb="5" eb="6">
      <t>ガツ</t>
    </rPh>
    <rPh sb="8" eb="9">
      <t>ヒ</t>
    </rPh>
    <phoneticPr fontId="3"/>
  </si>
  <si>
    <t>発電設備等設置者名</t>
    <rPh sb="0" eb="2">
      <t>ハツデン</t>
    </rPh>
    <rPh sb="2" eb="4">
      <t>セツビ</t>
    </rPh>
    <rPh sb="4" eb="5">
      <t>トウ</t>
    </rPh>
    <rPh sb="5" eb="7">
      <t>セッチ</t>
    </rPh>
    <rPh sb="7" eb="8">
      <t>シャ</t>
    </rPh>
    <rPh sb="8" eb="9">
      <t>メイ</t>
    </rPh>
    <phoneticPr fontId="3"/>
  </si>
  <si>
    <t>　</t>
    <phoneticPr fontId="3"/>
  </si>
  <si>
    <t>台　</t>
    <rPh sb="0" eb="1">
      <t>ダイ</t>
    </rPh>
    <phoneticPr fontId="3"/>
  </si>
  <si>
    <t>最大</t>
    <rPh sb="0" eb="2">
      <t>サイダイ</t>
    </rPh>
    <phoneticPr fontId="3"/>
  </si>
  <si>
    <t>様式３</t>
    <rPh sb="0" eb="2">
      <t>ヨウシキ</t>
    </rPh>
    <phoneticPr fontId="3"/>
  </si>
  <si>
    <t>　　年　　月　　日　</t>
    <phoneticPr fontId="3"/>
  </si>
  <si>
    <t>主要設備仕様（回転機）</t>
    <rPh sb="0" eb="2">
      <t>シュヨウ</t>
    </rPh>
    <rPh sb="2" eb="4">
      <t>セツビ</t>
    </rPh>
    <rPh sb="4" eb="6">
      <t>シヨウ</t>
    </rPh>
    <rPh sb="7" eb="10">
      <t>カイテンキ</t>
    </rPh>
    <phoneticPr fontId="3"/>
  </si>
  <si>
    <t>号発電機</t>
    <rPh sb="0" eb="1">
      <t>ゴウ</t>
    </rPh>
    <rPh sb="1" eb="4">
      <t>ハツデンキ</t>
    </rPh>
    <phoneticPr fontId="3"/>
  </si>
  <si>
    <t>（既設 ・ 新設 ・ 増設）</t>
    <phoneticPr fontId="3"/>
  </si>
  <si>
    <t>１．一般</t>
    <rPh sb="2" eb="4">
      <t>イッパン</t>
    </rPh>
    <phoneticPr fontId="3"/>
  </si>
  <si>
    <t>（１）原動機の種類（内燃機関、風力など）</t>
    <rPh sb="3" eb="6">
      <t>ゲンドウキ</t>
    </rPh>
    <rPh sb="7" eb="9">
      <t>シュルイ</t>
    </rPh>
    <rPh sb="10" eb="12">
      <t>ナイネン</t>
    </rPh>
    <rPh sb="12" eb="14">
      <t>キカン</t>
    </rPh>
    <rPh sb="15" eb="17">
      <t>フウリョク</t>
    </rPh>
    <phoneticPr fontId="3"/>
  </si>
  <si>
    <t>（２）発電機の種類（同期発電機、誘導発電機）</t>
    <rPh sb="3" eb="6">
      <t>ハツデンキ</t>
    </rPh>
    <rPh sb="7" eb="9">
      <t>シュルイ</t>
    </rPh>
    <rPh sb="10" eb="12">
      <t>ドウキ</t>
    </rPh>
    <rPh sb="12" eb="15">
      <t>ハツデンキ</t>
    </rPh>
    <rPh sb="16" eb="18">
      <t>ユウドウ</t>
    </rPh>
    <rPh sb="18" eb="21">
      <t>ハツデンキ</t>
    </rPh>
    <phoneticPr fontId="3"/>
  </si>
  <si>
    <t>（３）発電機台数</t>
    <rPh sb="3" eb="6">
      <t>ハツデンキ</t>
    </rPh>
    <rPh sb="6" eb="8">
      <t>ダイスウ</t>
    </rPh>
    <phoneticPr fontId="3"/>
  </si>
  <si>
    <t>（４）運転可能周波数</t>
    <rPh sb="3" eb="5">
      <t>ウンテン</t>
    </rPh>
    <rPh sb="5" eb="7">
      <t>カノウ</t>
    </rPh>
    <rPh sb="7" eb="10">
      <t>シュウハスウ</t>
    </rPh>
    <phoneticPr fontId="3"/>
  </si>
  <si>
    <t xml:space="preserve">Hz  </t>
    <phoneticPr fontId="3"/>
  </si>
  <si>
    <t>（５）自動電圧調整装置（AVR）の有無</t>
    <rPh sb="3" eb="5">
      <t>ジドウ</t>
    </rPh>
    <rPh sb="5" eb="7">
      <t>デンアツ</t>
    </rPh>
    <rPh sb="7" eb="9">
      <t>チョウセイ</t>
    </rPh>
    <rPh sb="9" eb="11">
      <t>ソウチ</t>
    </rPh>
    <rPh sb="17" eb="19">
      <t>ウム</t>
    </rPh>
    <phoneticPr fontId="3"/>
  </si>
  <si>
    <t>有　　・　　無</t>
    <rPh sb="0" eb="1">
      <t>ユウ</t>
    </rPh>
    <rPh sb="6" eb="7">
      <t>ム</t>
    </rPh>
    <phoneticPr fontId="3"/>
  </si>
  <si>
    <t>（６）自動電圧調整装置（AVR）の定数（整定値）</t>
    <rPh sb="3" eb="5">
      <t>ジドウ</t>
    </rPh>
    <rPh sb="5" eb="7">
      <t>デンアツ</t>
    </rPh>
    <rPh sb="7" eb="9">
      <t>チョウセイ</t>
    </rPh>
    <rPh sb="9" eb="11">
      <t>ソウチ</t>
    </rPh>
    <rPh sb="17" eb="19">
      <t>テイスウ</t>
    </rPh>
    <rPh sb="20" eb="22">
      <t>セイテイ</t>
    </rPh>
    <rPh sb="22" eb="23">
      <t>チ</t>
    </rPh>
    <phoneticPr fontId="3"/>
  </si>
  <si>
    <t>２．昇圧用変圧器</t>
    <rPh sb="2" eb="3">
      <t>ショウ</t>
    </rPh>
    <rPh sb="3" eb="4">
      <t>アツ</t>
    </rPh>
    <rPh sb="4" eb="5">
      <t>ヨウ</t>
    </rPh>
    <rPh sb="5" eb="8">
      <t>ヘンアツキ</t>
    </rPh>
    <phoneticPr fontId="3"/>
  </si>
  <si>
    <t>（１）定格容量</t>
    <rPh sb="3" eb="5">
      <t>テイカク</t>
    </rPh>
    <rPh sb="5" eb="7">
      <t>ヨウリョウ</t>
    </rPh>
    <phoneticPr fontId="3"/>
  </si>
  <si>
    <t>（２）定格１次電圧／２次電圧</t>
    <rPh sb="3" eb="5">
      <t>テイカク</t>
    </rPh>
    <rPh sb="6" eb="7">
      <t>ジ</t>
    </rPh>
    <rPh sb="7" eb="9">
      <t>デンアツ</t>
    </rPh>
    <rPh sb="11" eb="12">
      <t>ジ</t>
    </rPh>
    <rPh sb="12" eb="14">
      <t>デンアツ</t>
    </rPh>
    <phoneticPr fontId="3"/>
  </si>
  <si>
    <t>（３）タップ切替器仕様</t>
    <rPh sb="6" eb="8">
      <t>キリカエ</t>
    </rPh>
    <rPh sb="8" eb="9">
      <t>キ</t>
    </rPh>
    <rPh sb="9" eb="11">
      <t>シヨウ</t>
    </rPh>
    <phoneticPr fontId="3"/>
  </si>
  <si>
    <t>タップ数</t>
    <rPh sb="3" eb="4">
      <t>スウ</t>
    </rPh>
    <phoneticPr fontId="3"/>
  </si>
  <si>
    <t>電圧調整範囲</t>
    <rPh sb="0" eb="2">
      <t>デンアツ</t>
    </rPh>
    <rPh sb="2" eb="4">
      <t>チョウセイ</t>
    </rPh>
    <rPh sb="4" eb="6">
      <t>ハンイ</t>
    </rPh>
    <phoneticPr fontId="3"/>
  </si>
  <si>
    <t>（４）％インピーダンス（変圧器定格容量ベース）</t>
    <rPh sb="12" eb="15">
      <t>ヘンアツキ</t>
    </rPh>
    <rPh sb="15" eb="17">
      <t>テイカク</t>
    </rPh>
    <rPh sb="17" eb="19">
      <t>ヨウリョウ</t>
    </rPh>
    <phoneticPr fontId="3"/>
  </si>
  <si>
    <t>%　</t>
    <phoneticPr fontId="3"/>
  </si>
  <si>
    <t>３．交流発電機</t>
    <rPh sb="2" eb="4">
      <t>コウリュウ</t>
    </rPh>
    <rPh sb="4" eb="7">
      <t>ハツデンキ</t>
    </rPh>
    <phoneticPr fontId="3"/>
  </si>
  <si>
    <t>共通事項</t>
    <rPh sb="0" eb="2">
      <t>キョウツウ</t>
    </rPh>
    <rPh sb="2" eb="4">
      <t>ジコウ</t>
    </rPh>
    <phoneticPr fontId="3"/>
  </si>
  <si>
    <t>容　量</t>
    <rPh sb="0" eb="1">
      <t>カタチ</t>
    </rPh>
    <rPh sb="2" eb="3">
      <t>リョウ</t>
    </rPh>
    <phoneticPr fontId="3"/>
  </si>
  <si>
    <t xml:space="preserve">kVA   </t>
    <phoneticPr fontId="3"/>
  </si>
  <si>
    <t>定格電圧</t>
    <rPh sb="0" eb="2">
      <t>テイカク</t>
    </rPh>
    <rPh sb="2" eb="4">
      <t>デンアツ</t>
    </rPh>
    <phoneticPr fontId="3"/>
  </si>
  <si>
    <t xml:space="preserve">V   </t>
    <phoneticPr fontId="3"/>
  </si>
  <si>
    <t>定格出力</t>
    <rPh sb="0" eb="2">
      <t>テイカク</t>
    </rPh>
    <rPh sb="2" eb="4">
      <t>シュツリョク</t>
    </rPh>
    <phoneticPr fontId="3"/>
  </si>
  <si>
    <t xml:space="preserve">kW   </t>
    <phoneticPr fontId="3"/>
  </si>
  <si>
    <r>
      <t xml:space="preserve">出力抑制時の最低出力
</t>
    </r>
    <r>
      <rPr>
        <sz val="6"/>
        <rFont val="ＭＳ 明朝"/>
        <family val="1"/>
        <charset val="128"/>
      </rPr>
      <t>（火力・バイオマスの場合）</t>
    </r>
    <rPh sb="0" eb="2">
      <t>シュツリョク</t>
    </rPh>
    <rPh sb="2" eb="4">
      <t>ヨクセイ</t>
    </rPh>
    <rPh sb="4" eb="5">
      <t>ジ</t>
    </rPh>
    <rPh sb="6" eb="8">
      <t>サイテイ</t>
    </rPh>
    <rPh sb="8" eb="10">
      <t>シュツリョク</t>
    </rPh>
    <rPh sb="12" eb="14">
      <t>カリョク</t>
    </rPh>
    <rPh sb="21" eb="23">
      <t>バアイ</t>
    </rPh>
    <phoneticPr fontId="3"/>
  </si>
  <si>
    <t>力率（定格）</t>
    <rPh sb="0" eb="1">
      <t>リキ</t>
    </rPh>
    <rPh sb="1" eb="2">
      <t>リツ</t>
    </rPh>
    <rPh sb="3" eb="5">
      <t>テイカク</t>
    </rPh>
    <phoneticPr fontId="3"/>
  </si>
  <si>
    <t>%</t>
    <phoneticPr fontId="3"/>
  </si>
  <si>
    <t>力率（運転可能範囲）</t>
    <rPh sb="0" eb="1">
      <t>リキ</t>
    </rPh>
    <rPh sb="1" eb="2">
      <t>リツ</t>
    </rPh>
    <rPh sb="3" eb="5">
      <t>ウンテン</t>
    </rPh>
    <rPh sb="5" eb="7">
      <t>カノウ</t>
    </rPh>
    <rPh sb="7" eb="9">
      <t>ハンイ</t>
    </rPh>
    <phoneticPr fontId="3"/>
  </si>
  <si>
    <t>ＦＲＴ要件適用の有無</t>
    <phoneticPr fontId="3"/>
  </si>
  <si>
    <t>有　　・　　無</t>
    <phoneticPr fontId="3"/>
  </si>
  <si>
    <t>同期発電機</t>
    <rPh sb="0" eb="2">
      <t>ドウキ</t>
    </rPh>
    <rPh sb="2" eb="5">
      <t>ハツデンキ</t>
    </rPh>
    <phoneticPr fontId="3"/>
  </si>
  <si>
    <t>（a）Xd（同期リアクタンス）</t>
    <rPh sb="6" eb="8">
      <t>ドウキ</t>
    </rPh>
    <phoneticPr fontId="3"/>
  </si>
  <si>
    <t>（b）Xd'（過渡リアクタンス）</t>
    <rPh sb="7" eb="9">
      <t>カト</t>
    </rPh>
    <phoneticPr fontId="3"/>
  </si>
  <si>
    <t>（c）Xd''（初期過渡リアクタンス）</t>
    <rPh sb="8" eb="10">
      <t>ショキ</t>
    </rPh>
    <rPh sb="10" eb="12">
      <t>カト</t>
    </rPh>
    <phoneticPr fontId="3"/>
  </si>
  <si>
    <r>
      <t>（d）Tdo'（開路</t>
    </r>
    <r>
      <rPr>
        <sz val="9"/>
        <rFont val="ＭＳ 明朝"/>
        <family val="1"/>
        <charset val="128"/>
      </rPr>
      <t>時定数）</t>
    </r>
    <rPh sb="8" eb="9">
      <t>カイ</t>
    </rPh>
    <rPh sb="9" eb="10">
      <t>ロ</t>
    </rPh>
    <rPh sb="10" eb="11">
      <t>ジ</t>
    </rPh>
    <rPh sb="11" eb="13">
      <t>テイスウ</t>
    </rPh>
    <phoneticPr fontId="3"/>
  </si>
  <si>
    <t>s　</t>
    <phoneticPr fontId="3"/>
  </si>
  <si>
    <r>
      <t>（e）Tdo''（開路</t>
    </r>
    <r>
      <rPr>
        <sz val="9"/>
        <rFont val="ＭＳ 明朝"/>
        <family val="1"/>
        <charset val="128"/>
      </rPr>
      <t>時定数）</t>
    </r>
    <rPh sb="9" eb="11">
      <t>カイロ</t>
    </rPh>
    <rPh sb="11" eb="12">
      <t>ジ</t>
    </rPh>
    <rPh sb="12" eb="14">
      <t>テイスウ</t>
    </rPh>
    <phoneticPr fontId="3"/>
  </si>
  <si>
    <t>（f）慣性定数</t>
    <rPh sb="3" eb="5">
      <t>カンセイ</t>
    </rPh>
    <rPh sb="5" eb="7">
      <t>テイスウ</t>
    </rPh>
    <phoneticPr fontId="3"/>
  </si>
  <si>
    <t>制動巻線　　　　　　　　　　　　　　　　　　　有　　・　　無</t>
    <rPh sb="0" eb="2">
      <t>セイドウ</t>
    </rPh>
    <rPh sb="2" eb="3">
      <t>マ</t>
    </rPh>
    <rPh sb="3" eb="4">
      <t>セン</t>
    </rPh>
    <rPh sb="23" eb="24">
      <t>ユウ</t>
    </rPh>
    <rPh sb="29" eb="30">
      <t>ム</t>
    </rPh>
    <phoneticPr fontId="3"/>
  </si>
  <si>
    <t>誘導発電機</t>
    <rPh sb="0" eb="2">
      <t>ユウドウ</t>
    </rPh>
    <rPh sb="2" eb="5">
      <t>ハツデンキ</t>
    </rPh>
    <phoneticPr fontId="3"/>
  </si>
  <si>
    <t>（g）x（拘束リアクタンス）</t>
    <rPh sb="5" eb="7">
      <t>コウソク</t>
    </rPh>
    <phoneticPr fontId="3"/>
  </si>
  <si>
    <t>限流リアクトル</t>
    <rPh sb="0" eb="2">
      <t>ゲンリュウ</t>
    </rPh>
    <phoneticPr fontId="3"/>
  </si>
  <si>
    <t>有　　　・　　　無</t>
    <rPh sb="0" eb="1">
      <t>ユウ</t>
    </rPh>
    <rPh sb="8" eb="9">
      <t>ム</t>
    </rPh>
    <phoneticPr fontId="3"/>
  </si>
  <si>
    <t>限流リアクトル容量</t>
    <rPh sb="0" eb="2">
      <t>ゲンリュウ</t>
    </rPh>
    <rPh sb="7" eb="9">
      <t>ヨウリョウ</t>
    </rPh>
    <phoneticPr fontId="3"/>
  </si>
  <si>
    <t>　　※（a）、（b）、（c）または、（g）については必ず記載</t>
    <rPh sb="26" eb="27">
      <t>カナラ</t>
    </rPh>
    <rPh sb="28" eb="30">
      <t>キサイ</t>
    </rPh>
    <phoneticPr fontId="3"/>
  </si>
  <si>
    <t>発電設備仕様（二次励磁巻線形誘導機）</t>
    <rPh sb="0" eb="2">
      <t>ハツデン</t>
    </rPh>
    <rPh sb="2" eb="4">
      <t>セツビ</t>
    </rPh>
    <rPh sb="4" eb="6">
      <t>シヨウ</t>
    </rPh>
    <rPh sb="7" eb="9">
      <t>ニジ</t>
    </rPh>
    <rPh sb="9" eb="11">
      <t>レイジ</t>
    </rPh>
    <rPh sb="11" eb="12">
      <t>マキ</t>
    </rPh>
    <rPh sb="12" eb="13">
      <t>セン</t>
    </rPh>
    <rPh sb="13" eb="14">
      <t>カタ</t>
    </rPh>
    <rPh sb="14" eb="16">
      <t>ユウドウ</t>
    </rPh>
    <rPh sb="16" eb="17">
      <t>キ</t>
    </rPh>
    <phoneticPr fontId="3"/>
  </si>
  <si>
    <t>１．全般</t>
    <rPh sb="2" eb="4">
      <t>ゼンパン</t>
    </rPh>
    <phoneticPr fontId="3"/>
  </si>
  <si>
    <t>（１）原動機の種類（風力など）</t>
    <rPh sb="3" eb="6">
      <t>ゲンドウキ</t>
    </rPh>
    <rPh sb="7" eb="9">
      <t>シュルイ</t>
    </rPh>
    <rPh sb="10" eb="12">
      <t>フウリョク</t>
    </rPh>
    <phoneticPr fontId="3"/>
  </si>
  <si>
    <t>（２）発電機台数</t>
    <rPh sb="3" eb="6">
      <t>ハツデンキ</t>
    </rPh>
    <rPh sb="6" eb="8">
      <t>ダイスウ</t>
    </rPh>
    <phoneticPr fontId="3"/>
  </si>
  <si>
    <t>[台]　</t>
    <rPh sb="1" eb="2">
      <t>ダイ</t>
    </rPh>
    <phoneticPr fontId="3"/>
  </si>
  <si>
    <t>２．交流発電機</t>
    <rPh sb="2" eb="4">
      <t>コウリュウ</t>
    </rPh>
    <rPh sb="4" eb="7">
      <t>ハツデンキ</t>
    </rPh>
    <phoneticPr fontId="3"/>
  </si>
  <si>
    <t>（１）メーカ･型式</t>
    <rPh sb="7" eb="9">
      <t>カタシキ</t>
    </rPh>
    <phoneticPr fontId="3"/>
  </si>
  <si>
    <t>【ﾒｰｶ】　　　　　　　　　　　　　　　　　【型式】</t>
    <rPh sb="23" eb="25">
      <t>カタシキ</t>
    </rPh>
    <phoneticPr fontId="3"/>
  </si>
  <si>
    <t>（２）電気方式</t>
    <rPh sb="3" eb="5">
      <t>デンキ</t>
    </rPh>
    <rPh sb="5" eb="7">
      <t>ホウシキ</t>
    </rPh>
    <phoneticPr fontId="3"/>
  </si>
  <si>
    <t>三相３線式　　　・　　単相３線式　　・　　単相２線式</t>
    <rPh sb="0" eb="1">
      <t>サン</t>
    </rPh>
    <rPh sb="1" eb="2">
      <t>ソウ</t>
    </rPh>
    <rPh sb="3" eb="4">
      <t>セン</t>
    </rPh>
    <rPh sb="4" eb="5">
      <t>シキ</t>
    </rPh>
    <rPh sb="11" eb="13">
      <t>タンソウ</t>
    </rPh>
    <rPh sb="14" eb="15">
      <t>セン</t>
    </rPh>
    <rPh sb="15" eb="16">
      <t>シキ</t>
    </rPh>
    <rPh sb="21" eb="23">
      <t>タンソウ</t>
    </rPh>
    <rPh sb="24" eb="25">
      <t>セン</t>
    </rPh>
    <rPh sb="25" eb="26">
      <t>シキ</t>
    </rPh>
    <phoneticPr fontId="3"/>
  </si>
  <si>
    <t>（３）定格容量</t>
    <rPh sb="3" eb="5">
      <t>テイカク</t>
    </rPh>
    <rPh sb="5" eb="6">
      <t>カタチ</t>
    </rPh>
    <rPh sb="6" eb="7">
      <t>リョウ</t>
    </rPh>
    <phoneticPr fontId="3"/>
  </si>
  <si>
    <t>［kVA］</t>
    <phoneticPr fontId="3"/>
  </si>
  <si>
    <t>（４）定格出力</t>
    <rPh sb="3" eb="5">
      <t>テイカク</t>
    </rPh>
    <rPh sb="5" eb="7">
      <t>シュツリョク</t>
    </rPh>
    <phoneticPr fontId="3"/>
  </si>
  <si>
    <t>［kW］</t>
    <phoneticPr fontId="3"/>
  </si>
  <si>
    <t>（５）出力抑制時の最低出力
（火力・バイオマスの場合）</t>
    <rPh sb="3" eb="5">
      <t>シュツリョク</t>
    </rPh>
    <rPh sb="5" eb="7">
      <t>ヨクセイ</t>
    </rPh>
    <rPh sb="7" eb="8">
      <t>ジ</t>
    </rPh>
    <rPh sb="9" eb="11">
      <t>サイテイ</t>
    </rPh>
    <rPh sb="11" eb="13">
      <t>シュツリョク</t>
    </rPh>
    <rPh sb="15" eb="17">
      <t>カリョク</t>
    </rPh>
    <rPh sb="24" eb="26">
      <t>バアイ</t>
    </rPh>
    <phoneticPr fontId="3"/>
  </si>
  <si>
    <t>（６）定格電圧</t>
    <rPh sb="3" eb="5">
      <t>テイカク</t>
    </rPh>
    <rPh sb="5" eb="7">
      <t>デンアツ</t>
    </rPh>
    <phoneticPr fontId="3"/>
  </si>
  <si>
    <t>［kV］</t>
    <phoneticPr fontId="3"/>
  </si>
  <si>
    <t>（７）力率</t>
    <rPh sb="3" eb="4">
      <t>リキ</t>
    </rPh>
    <rPh sb="4" eb="5">
      <t>リツ</t>
    </rPh>
    <phoneticPr fontId="3"/>
  </si>
  <si>
    <t>定格</t>
    <rPh sb="0" eb="2">
      <t>テイカク</t>
    </rPh>
    <phoneticPr fontId="3"/>
  </si>
  <si>
    <t>［%］</t>
    <phoneticPr fontId="3"/>
  </si>
  <si>
    <t>運転可能範囲</t>
    <rPh sb="0" eb="2">
      <t>ウンテン</t>
    </rPh>
    <rPh sb="2" eb="4">
      <t>カノウ</t>
    </rPh>
    <rPh sb="4" eb="6">
      <t>ハンイ</t>
    </rPh>
    <phoneticPr fontId="3"/>
  </si>
  <si>
    <t>遅れ　　　　　［%］～進み　　　　　［%］</t>
    <rPh sb="0" eb="1">
      <t>オク</t>
    </rPh>
    <rPh sb="11" eb="12">
      <t>スス</t>
    </rPh>
    <phoneticPr fontId="3"/>
  </si>
  <si>
    <t>調整範囲</t>
    <rPh sb="0" eb="2">
      <t>チョウセイ</t>
    </rPh>
    <rPh sb="2" eb="4">
      <t>ハンイ</t>
    </rPh>
    <phoneticPr fontId="3"/>
  </si>
  <si>
    <t>力率設定範囲：　　 　 　[%]～　　 　　[%]</t>
    <rPh sb="0" eb="2">
      <t>リキリツ</t>
    </rPh>
    <rPh sb="2" eb="4">
      <t>セッテイ</t>
    </rPh>
    <rPh sb="4" eb="6">
      <t>ハンイ</t>
    </rPh>
    <phoneticPr fontId="3"/>
  </si>
  <si>
    <t>　力率設定ステップ：　　 　 　[%]　　　　　　　　　　</t>
    <phoneticPr fontId="3"/>
  </si>
  <si>
    <t>（８）定格周波数</t>
    <rPh sb="3" eb="5">
      <t>テイカク</t>
    </rPh>
    <rPh sb="5" eb="8">
      <t>シュウハスウ</t>
    </rPh>
    <phoneticPr fontId="3"/>
  </si>
  <si>
    <t>　　　［Hz］</t>
    <phoneticPr fontId="3"/>
  </si>
  <si>
    <t>（９）連続運転可能周波数</t>
    <rPh sb="3" eb="5">
      <t>レンゾク</t>
    </rPh>
    <rPh sb="5" eb="7">
      <t>ウンテン</t>
    </rPh>
    <rPh sb="7" eb="9">
      <t>カノウ</t>
    </rPh>
    <rPh sb="9" eb="12">
      <t>シュウハスウ</t>
    </rPh>
    <phoneticPr fontId="3"/>
  </si>
  <si>
    <t>　　　［Hz］～　　　　［Hz］</t>
    <phoneticPr fontId="3"/>
  </si>
  <si>
    <t>（10）運転可能周波数　　（　　s）</t>
    <rPh sb="4" eb="6">
      <t>ウンテン</t>
    </rPh>
    <rPh sb="6" eb="8">
      <t>カノウ</t>
    </rPh>
    <rPh sb="8" eb="11">
      <t>シュウハスウ</t>
    </rPh>
    <phoneticPr fontId="3"/>
  </si>
  <si>
    <t>（11）系統並解列箇所</t>
    <rPh sb="4" eb="6">
      <t>ケイトウ</t>
    </rPh>
    <rPh sb="6" eb="7">
      <t>ナミ</t>
    </rPh>
    <rPh sb="7" eb="8">
      <t>カイ</t>
    </rPh>
    <rPh sb="8" eb="9">
      <t>レツ</t>
    </rPh>
    <rPh sb="9" eb="11">
      <t>カショ</t>
    </rPh>
    <phoneticPr fontId="3"/>
  </si>
  <si>
    <t>添付　様式５の４　参照</t>
  </si>
  <si>
    <t>（12）自動的に同期がとれる機能の有無</t>
    <rPh sb="4" eb="6">
      <t>ジドウ</t>
    </rPh>
    <rPh sb="6" eb="7">
      <t>テキ</t>
    </rPh>
    <rPh sb="8" eb="10">
      <t>ドウキ</t>
    </rPh>
    <rPh sb="14" eb="16">
      <t>キノウ</t>
    </rPh>
    <rPh sb="17" eb="19">
      <t>ウム</t>
    </rPh>
    <phoneticPr fontId="3"/>
  </si>
  <si>
    <t>（13）誘導発電機諸定数　（基準容量　　　　　　　kVA）</t>
    <rPh sb="4" eb="6">
      <t>ユウドウ</t>
    </rPh>
    <rPh sb="6" eb="8">
      <t>ハツデン</t>
    </rPh>
    <rPh sb="8" eb="9">
      <t>キ</t>
    </rPh>
    <rPh sb="9" eb="10">
      <t>ショ</t>
    </rPh>
    <rPh sb="10" eb="12">
      <t>ジョウスウ</t>
    </rPh>
    <rPh sb="14" eb="16">
      <t>キジュン</t>
    </rPh>
    <rPh sb="16" eb="18">
      <t>ヨウリョウ</t>
    </rPh>
    <phoneticPr fontId="3"/>
  </si>
  <si>
    <t>（a）拘束リアクタンス</t>
    <rPh sb="3" eb="5">
      <t>コウソク</t>
    </rPh>
    <phoneticPr fontId="3"/>
  </si>
  <si>
    <r>
      <t>(X</t>
    </r>
    <r>
      <rPr>
        <vertAlign val="subscript"/>
        <sz val="9"/>
        <rFont val="ＭＳ 明朝"/>
        <family val="1"/>
        <charset val="128"/>
      </rPr>
      <t>L</t>
    </r>
    <r>
      <rPr>
        <sz val="9"/>
        <rFont val="ＭＳ 明朝"/>
        <family val="1"/>
        <charset val="128"/>
      </rPr>
      <t>)</t>
    </r>
    <phoneticPr fontId="3"/>
  </si>
  <si>
    <t>（14）二次励磁装置種類</t>
    <rPh sb="4" eb="6">
      <t>ニジ</t>
    </rPh>
    <rPh sb="6" eb="8">
      <t>レイジ</t>
    </rPh>
    <rPh sb="8" eb="10">
      <t>ソウチ</t>
    </rPh>
    <rPh sb="10" eb="12">
      <t>シュルイ</t>
    </rPh>
    <phoneticPr fontId="3"/>
  </si>
  <si>
    <t>（a）主回路方式</t>
    <rPh sb="3" eb="4">
      <t>シュ</t>
    </rPh>
    <rPh sb="4" eb="6">
      <t>カイロ</t>
    </rPh>
    <rPh sb="6" eb="8">
      <t>ホウシキ</t>
    </rPh>
    <phoneticPr fontId="3"/>
  </si>
  <si>
    <t>他励式インバータ　・　その他（　　　　　　　　　　）</t>
    <rPh sb="0" eb="1">
      <t>タ</t>
    </rPh>
    <rPh sb="1" eb="2">
      <t>レイ</t>
    </rPh>
    <rPh sb="2" eb="3">
      <t>シキ</t>
    </rPh>
    <rPh sb="13" eb="14">
      <t>タ</t>
    </rPh>
    <phoneticPr fontId="3"/>
  </si>
  <si>
    <t>電圧型　・　電流型</t>
    <rPh sb="0" eb="2">
      <t>デンアツ</t>
    </rPh>
    <rPh sb="2" eb="3">
      <t>ガタ</t>
    </rPh>
    <rPh sb="6" eb="8">
      <t>デンリュウ</t>
    </rPh>
    <rPh sb="8" eb="9">
      <t>ガタ</t>
    </rPh>
    <phoneticPr fontId="3"/>
  </si>
  <si>
    <t>（b）出力制御方式</t>
    <rPh sb="3" eb="5">
      <t>シュツリョク</t>
    </rPh>
    <rPh sb="5" eb="7">
      <t>セイギョ</t>
    </rPh>
    <rPh sb="7" eb="9">
      <t>ホウシキ</t>
    </rPh>
    <phoneticPr fontId="3"/>
  </si>
  <si>
    <t>電圧制御方式　・　電流制御方式</t>
    <rPh sb="0" eb="2">
      <t>デンアツ</t>
    </rPh>
    <rPh sb="2" eb="4">
      <t>セイギョ</t>
    </rPh>
    <rPh sb="4" eb="6">
      <t>ホウシキ</t>
    </rPh>
    <rPh sb="9" eb="11">
      <t>デンリュウ</t>
    </rPh>
    <rPh sb="11" eb="13">
      <t>セイギョ</t>
    </rPh>
    <rPh sb="13" eb="15">
      <t>ホウシキ</t>
    </rPh>
    <phoneticPr fontId="3"/>
  </si>
  <si>
    <t>ＰＷＭ　・　ＰＡＭ（サイリスタ）</t>
    <phoneticPr fontId="3"/>
  </si>
  <si>
    <t>（15）事故時運転継続（ＦＲＴ）要件適用の有無</t>
    <rPh sb="4" eb="6">
      <t>ジコ</t>
    </rPh>
    <rPh sb="6" eb="7">
      <t>ジ</t>
    </rPh>
    <rPh sb="7" eb="9">
      <t>ウンテン</t>
    </rPh>
    <rPh sb="9" eb="11">
      <t>ケイゾク</t>
    </rPh>
    <rPh sb="16" eb="18">
      <t>ヨウケン</t>
    </rPh>
    <rPh sb="18" eb="20">
      <t>テキヨウ</t>
    </rPh>
    <rPh sb="21" eb="23">
      <t>ウム</t>
    </rPh>
    <phoneticPr fontId="3"/>
  </si>
  <si>
    <t>（16）高調波電流歪率</t>
    <rPh sb="4" eb="7">
      <t>コウチョウハ</t>
    </rPh>
    <rPh sb="7" eb="9">
      <t>デンリュウ</t>
    </rPh>
    <rPh sb="9" eb="10">
      <t>ヒズ</t>
    </rPh>
    <rPh sb="10" eb="11">
      <t>リツ</t>
    </rPh>
    <phoneticPr fontId="3"/>
  </si>
  <si>
    <t>総合</t>
    <rPh sb="0" eb="2">
      <t>ソウゴウ</t>
    </rPh>
    <phoneticPr fontId="3"/>
  </si>
  <si>
    <t>各次最大</t>
    <rPh sb="0" eb="2">
      <t>カクジ</t>
    </rPh>
    <rPh sb="2" eb="4">
      <t>サイダイ</t>
    </rPh>
    <phoneticPr fontId="3"/>
  </si>
  <si>
    <t>第　　　次　　　　　　　［%］</t>
    <rPh sb="0" eb="1">
      <t>ダイ</t>
    </rPh>
    <rPh sb="4" eb="5">
      <t>ジ</t>
    </rPh>
    <phoneticPr fontId="3"/>
  </si>
  <si>
    <t>【留意事項】</t>
    <rPh sb="1" eb="3">
      <t>リュウイ</t>
    </rPh>
    <rPh sb="3" eb="5">
      <t>ジコウ</t>
    </rPh>
    <phoneticPr fontId="3"/>
  </si>
  <si>
    <t>○</t>
    <phoneticPr fontId="3"/>
  </si>
  <si>
    <t>異なる仕様の発電機がある場合は、本様式を複写し、仕様毎にご記載ください。</t>
    <rPh sb="0" eb="1">
      <t>コト</t>
    </rPh>
    <rPh sb="3" eb="5">
      <t>シヨウ</t>
    </rPh>
    <rPh sb="24" eb="26">
      <t>シヨウ</t>
    </rPh>
    <rPh sb="29" eb="31">
      <t>キサイ</t>
    </rPh>
    <phoneticPr fontId="3"/>
  </si>
  <si>
    <t>系統安定度の検討などで、さらに詳細な資料を確認させていただく場合があります。</t>
    <rPh sb="0" eb="2">
      <t>ケイトウ</t>
    </rPh>
    <rPh sb="2" eb="5">
      <t>アンテイド</t>
    </rPh>
    <rPh sb="6" eb="8">
      <t>ケントウ</t>
    </rPh>
    <phoneticPr fontId="3"/>
  </si>
  <si>
    <t>　　　年　　　月　　　日</t>
    <rPh sb="3" eb="4">
      <t>ネン</t>
    </rPh>
    <rPh sb="7" eb="8">
      <t>ガツ</t>
    </rPh>
    <rPh sb="11" eb="12">
      <t>ニチ</t>
    </rPh>
    <phoneticPr fontId="3"/>
  </si>
  <si>
    <t>様式５の２</t>
    <rPh sb="0" eb="2">
      <t>ヨウシキ</t>
    </rPh>
    <phoneticPr fontId="3"/>
  </si>
  <si>
    <t>※用紙の大きさは、日本工業規格Ａ３サイズまたはＡ４サイズとしてください。</t>
    <phoneticPr fontId="3"/>
  </si>
  <si>
    <t>発電設備等設置者名</t>
    <phoneticPr fontId="3"/>
  </si>
  <si>
    <t>発　電　機　制　御　系　ブ　ロ　ッ　ク　図</t>
    <rPh sb="0" eb="1">
      <t>ハツ</t>
    </rPh>
    <rPh sb="2" eb="3">
      <t>デン</t>
    </rPh>
    <rPh sb="4" eb="5">
      <t>キ</t>
    </rPh>
    <rPh sb="6" eb="7">
      <t>セイ</t>
    </rPh>
    <rPh sb="8" eb="9">
      <t>ゴ</t>
    </rPh>
    <rPh sb="10" eb="11">
      <t>ケイ</t>
    </rPh>
    <rPh sb="20" eb="21">
      <t>ズ</t>
    </rPh>
    <phoneticPr fontId="3"/>
  </si>
  <si>
    <t>－　ガ　バ　ナ　系　－</t>
    <rPh sb="8" eb="9">
      <t>ケイ</t>
    </rPh>
    <phoneticPr fontId="3"/>
  </si>
  <si>
    <t>様式５の３</t>
    <rPh sb="0" eb="2">
      <t>ヨウシキ</t>
    </rPh>
    <phoneticPr fontId="3"/>
  </si>
  <si>
    <t>設　備　運　用　方　法</t>
    <rPh sb="0" eb="1">
      <t>セツ</t>
    </rPh>
    <rPh sb="2" eb="3">
      <t>ソナエ</t>
    </rPh>
    <rPh sb="4" eb="5">
      <t>ウン</t>
    </rPh>
    <rPh sb="6" eb="7">
      <t>ヨウ</t>
    </rPh>
    <rPh sb="8" eb="9">
      <t>カタ</t>
    </rPh>
    <rPh sb="10" eb="11">
      <t>ホウ</t>
    </rPh>
    <phoneticPr fontId="3"/>
  </si>
  <si>
    <t>－　発電機運転パターン、受電地点における受電電力パターン　－</t>
    <rPh sb="2" eb="5">
      <t>ハツデンキ</t>
    </rPh>
    <rPh sb="5" eb="7">
      <t>ウンテン</t>
    </rPh>
    <rPh sb="12" eb="14">
      <t>ジュデン</t>
    </rPh>
    <rPh sb="14" eb="16">
      <t>チテン</t>
    </rPh>
    <rPh sb="20" eb="22">
      <t>ジュデン</t>
    </rPh>
    <rPh sb="22" eb="24">
      <t>デンリョク</t>
    </rPh>
    <phoneticPr fontId="3"/>
  </si>
  <si>
    <t>Hz　 ～   Hz　　　　　　　　　　　　　　　　　　　　　　　　　　　　　　　　　　</t>
    <phoneticPr fontId="3"/>
  </si>
  <si>
    <t xml:space="preserve"> kVA  </t>
    <phoneticPr fontId="3"/>
  </si>
  <si>
    <t xml:space="preserve"> V　／　　　　　　 kV   </t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</si>
  <si>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</si>
  <si>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</si>
  <si>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冬</t>
    <rPh sb="0" eb="1">
      <t>フユ</t>
    </rPh>
    <phoneticPr fontId="3"/>
  </si>
  <si>
    <t>11月</t>
    <rPh sb="2" eb="3">
      <t>ガツ</t>
    </rPh>
    <phoneticPr fontId="3"/>
  </si>
  <si>
    <t>12月</t>
    <rPh sb="2" eb="3">
      <t>ガツ</t>
    </rPh>
    <phoneticPr fontId="3"/>
  </si>
  <si>
    <t>1月</t>
  </si>
  <si>
    <t>2月</t>
  </si>
  <si>
    <t>3月</t>
  </si>
  <si>
    <t>春</t>
    <rPh sb="0" eb="1">
      <t>ハル</t>
    </rPh>
    <phoneticPr fontId="3"/>
  </si>
  <si>
    <t>4月</t>
  </si>
  <si>
    <t>5月</t>
  </si>
  <si>
    <t>秋</t>
    <rPh sb="0" eb="1">
      <t>アキ</t>
    </rPh>
    <phoneticPr fontId="3"/>
  </si>
  <si>
    <t>9月</t>
  </si>
  <si>
    <t>10月</t>
  </si>
  <si>
    <t>夏</t>
    <rPh sb="0" eb="1">
      <t>ナツ</t>
    </rPh>
    <phoneticPr fontId="3"/>
  </si>
  <si>
    <t>6月</t>
  </si>
  <si>
    <t>7月</t>
  </si>
  <si>
    <t>8月</t>
  </si>
  <si>
    <t>30分データ</t>
    <rPh sb="2" eb="3">
      <t>プン</t>
    </rPh>
    <phoneticPr fontId="21"/>
  </si>
  <si>
    <t>（ｋｗ）</t>
    <phoneticPr fontId="21"/>
  </si>
  <si>
    <t>2019/7/1〜2020/6/30</t>
    <phoneticPr fontId="21"/>
  </si>
  <si>
    <t>日射データ地点</t>
    <rPh sb="0" eb="2">
      <t>ニッシャ</t>
    </rPh>
    <rPh sb="5" eb="7">
      <t>チテン</t>
    </rPh>
    <phoneticPr fontId="3"/>
  </si>
  <si>
    <t>太陽電池モジュール設置方位</t>
    <rPh sb="0" eb="2">
      <t>タイヨウ</t>
    </rPh>
    <rPh sb="2" eb="4">
      <t>デンチ</t>
    </rPh>
    <rPh sb="9" eb="11">
      <t>セッチ</t>
    </rPh>
    <rPh sb="11" eb="13">
      <t>ホウイ</t>
    </rPh>
    <phoneticPr fontId="3"/>
  </si>
  <si>
    <t>0度南</t>
    <rPh sb="1" eb="2">
      <t>ド</t>
    </rPh>
    <rPh sb="2" eb="3">
      <t>ミナミ</t>
    </rPh>
    <phoneticPr fontId="3"/>
  </si>
  <si>
    <t>太陽電池設置角度</t>
    <rPh sb="0" eb="2">
      <t>タイヨウ</t>
    </rPh>
    <rPh sb="2" eb="4">
      <t>デンチ</t>
    </rPh>
    <rPh sb="4" eb="6">
      <t>セッチ</t>
    </rPh>
    <rPh sb="6" eb="8">
      <t>カクド</t>
    </rPh>
    <phoneticPr fontId="3"/>
  </si>
  <si>
    <t>0度</t>
    <rPh sb="1" eb="2">
      <t>ド</t>
    </rPh>
    <phoneticPr fontId="3"/>
  </si>
  <si>
    <t>システム容量</t>
    <rPh sb="4" eb="6">
      <t>ヨウリョウ</t>
    </rPh>
    <phoneticPr fontId="3"/>
  </si>
  <si>
    <t>（ＫＷ）</t>
    <phoneticPr fontId="3"/>
  </si>
  <si>
    <t>モジュール容量</t>
    <rPh sb="5" eb="7">
      <t>ヨウリョウ</t>
    </rPh>
    <phoneticPr fontId="3"/>
  </si>
  <si>
    <t>1月</t>
    <rPh sb="1" eb="2">
      <t>ガツ</t>
    </rPh>
    <phoneticPr fontId="3"/>
  </si>
  <si>
    <t>11月</t>
  </si>
  <si>
    <t>12月</t>
  </si>
  <si>
    <t>年間合計</t>
    <rPh sb="0" eb="2">
      <t>ネンカン</t>
    </rPh>
    <rPh sb="2" eb="4">
      <t>ゴウケイ</t>
    </rPh>
    <phoneticPr fontId="3"/>
  </si>
  <si>
    <t>日射量</t>
    <rPh sb="0" eb="2">
      <t>ニッシャ</t>
    </rPh>
    <rPh sb="2" eb="3">
      <t>リョウ</t>
    </rPh>
    <phoneticPr fontId="3"/>
  </si>
  <si>
    <t>発電量</t>
    <rPh sb="0" eb="2">
      <t>ハツデン</t>
    </rPh>
    <rPh sb="2" eb="3">
      <t>リョウ</t>
    </rPh>
    <phoneticPr fontId="3"/>
  </si>
  <si>
    <t>容量</t>
    <rPh sb="0" eb="2">
      <t>ヨウリョウ</t>
    </rPh>
    <phoneticPr fontId="3"/>
  </si>
  <si>
    <t>INVロス</t>
    <phoneticPr fontId="3"/>
  </si>
  <si>
    <t>その他ロス</t>
    <rPh sb="2" eb="3">
      <t>タ</t>
    </rPh>
    <phoneticPr fontId="3"/>
  </si>
  <si>
    <t>9月秋分</t>
    <rPh sb="1" eb="2">
      <t>ガツ</t>
    </rPh>
    <rPh sb="2" eb="4">
      <t>シュウブン</t>
    </rPh>
    <phoneticPr fontId="3"/>
  </si>
  <si>
    <t>6月夏至</t>
    <rPh sb="1" eb="2">
      <t>ガツ</t>
    </rPh>
    <rPh sb="2" eb="4">
      <t>ゲシ</t>
    </rPh>
    <phoneticPr fontId="3"/>
  </si>
  <si>
    <t>12月冬至</t>
    <rPh sb="2" eb="3">
      <t>ガツ</t>
    </rPh>
    <rPh sb="3" eb="5">
      <t>トウジ</t>
    </rPh>
    <phoneticPr fontId="3"/>
  </si>
  <si>
    <t>春秋</t>
    <rPh sb="0" eb="1">
      <t>ハル</t>
    </rPh>
    <rPh sb="1" eb="2">
      <t>アキ</t>
    </rPh>
    <phoneticPr fontId="3"/>
  </si>
  <si>
    <t>時刻</t>
    <rPh sb="0" eb="2">
      <t>ジコク</t>
    </rPh>
    <phoneticPr fontId="3"/>
  </si>
  <si>
    <t>日射量MJ</t>
    <rPh sb="0" eb="2">
      <t>ニッシャ</t>
    </rPh>
    <rPh sb="2" eb="3">
      <t>リョウ</t>
    </rPh>
    <phoneticPr fontId="3"/>
  </si>
  <si>
    <t>発電
（ＫＷ）</t>
    <rPh sb="0" eb="2">
      <t>ハツデン</t>
    </rPh>
    <phoneticPr fontId="3"/>
  </si>
  <si>
    <t>ＮＥＤＯの日射積算ランキング（晴天日を想定した）データーを使用。</t>
    <rPh sb="5" eb="6">
      <t>ヒ</t>
    </rPh>
    <rPh sb="7" eb="9">
      <t>セキサン</t>
    </rPh>
    <rPh sb="15" eb="17">
      <t>セイテン</t>
    </rPh>
    <rPh sb="17" eb="18">
      <t>ビ</t>
    </rPh>
    <rPh sb="19" eb="21">
      <t>ソウテイ</t>
    </rPh>
    <rPh sb="29" eb="31">
      <t>シヨウ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</si>
</sst>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7" formatCode="[h]:mm"/>
    <numFmt numFmtId="178" formatCode="0.0"/>
    <numFmt numFmtId="179" formatCode="0.0_ "/>
    <numFmt numFmtId="180" formatCode="0.000"/>
    <numFmt numFmtId="181" formatCode="#,##0.00_ "/>
    <numFmt numFmtId="182" formatCode="#,##0.0_ "/>
    <numFmt numFmtId="183" formatCode="#,##0_ "/>
    <numFmt numFmtId="184" formatCode="[$-F800]dddd\,\ mmmm\ dd\,\ yyyy"/>
  </numFmts>
  <fonts count="2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0"/>
      <name val="Century"/>
      <family val="1"/>
    </font>
    <font>
      <sz val="9"/>
      <name val="ＭＳ 明朝"/>
      <family val="1"/>
      <charset val="128"/>
    </font>
    <font>
      <sz val="9"/>
      <name val="Century"/>
      <family val="1"/>
    </font>
    <font>
      <u/>
      <sz val="10"/>
      <name val="ＭＳ 明朝"/>
      <family val="1"/>
      <charset val="128"/>
    </font>
    <font>
      <u/>
      <sz val="9"/>
      <name val="ＭＳ 明朝"/>
      <family val="1"/>
      <charset val="128"/>
    </font>
    <font>
      <u/>
      <sz val="9"/>
      <name val="Century"/>
      <family val="1"/>
    </font>
    <font>
      <sz val="9"/>
      <name val="ＭＳ Ｐ明朝"/>
      <family val="1"/>
      <charset val="128"/>
    </font>
    <font>
      <sz val="11"/>
      <name val="ＭＳ ゴシック"/>
      <family val="3"/>
      <charset val="128"/>
    </font>
    <font>
      <vertAlign val="subscript"/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Century"/>
      <family val="1"/>
    </font>
    <font>
      <sz val="12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4">
    <xf numFmtId="0" fontId="0" fillId="0" borderId="0" xfId="0">
      <alignment vertical="center"/>
    </xf>
    <xf numFmtId="0" fontId="10" fillId="0" borderId="16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1" fillId="0" borderId="14" xfId="0" applyFont="1" applyBorder="1">
      <alignment vertical="center"/>
    </xf>
    <xf numFmtId="0" fontId="11" fillId="0" borderId="16" xfId="0" applyFont="1" applyBorder="1">
      <alignment vertical="center"/>
    </xf>
    <xf numFmtId="0" fontId="10" fillId="0" borderId="1" xfId="0" applyFont="1" applyBorder="1" applyAlignment="1"/>
    <xf numFmtId="0" fontId="11" fillId="0" borderId="1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19" xfId="0" applyFont="1" applyBorder="1">
      <alignment vertical="center"/>
    </xf>
    <xf numFmtId="0" fontId="15" fillId="0" borderId="16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13" xfId="0" applyFont="1" applyBorder="1">
      <alignment vertical="center"/>
    </xf>
    <xf numFmtId="0" fontId="10" fillId="0" borderId="13" xfId="0" applyFont="1" applyBorder="1" applyAlignment="1">
      <alignment horizontal="righ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1" fillId="0" borderId="10" xfId="0" applyFont="1" applyBorder="1">
      <alignment vertical="center"/>
    </xf>
    <xf numFmtId="0" fontId="10" fillId="0" borderId="5" xfId="0" applyFont="1" applyBorder="1">
      <alignment vertical="center"/>
    </xf>
    <xf numFmtId="0" fontId="2" fillId="0" borderId="0" xfId="0" applyFont="1">
      <alignment vertical="center"/>
    </xf>
    <xf numFmtId="0" fontId="10" fillId="0" borderId="15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21" xfId="0" applyFont="1" applyBorder="1" applyAlignment="1">
      <alignment vertical="center" wrapText="1"/>
    </xf>
    <xf numFmtId="0" fontId="10" fillId="0" borderId="2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24" xfId="0" applyFont="1" applyBorder="1">
      <alignment vertical="center"/>
    </xf>
    <xf numFmtId="0" fontId="10" fillId="0" borderId="26" xfId="0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10" fillId="0" borderId="0" xfId="0" applyFont="1" applyAlignment="1">
      <alignment horizontal="right" vertical="center" wrapText="1"/>
    </xf>
    <xf numFmtId="0" fontId="2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10" fillId="0" borderId="20" xfId="0" applyFont="1" applyBorder="1" applyAlignment="1">
      <alignment horizontal="center" vertical="center" shrinkToFit="1"/>
    </xf>
    <xf numFmtId="0" fontId="10" fillId="0" borderId="1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right" vertical="center"/>
    </xf>
    <xf numFmtId="0" fontId="10" fillId="0" borderId="0" xfId="0" applyFont="1" applyAlignment="1"/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right"/>
    </xf>
    <xf numFmtId="0" fontId="5" fillId="0" borderId="20" xfId="0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right" vertic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25" xfId="0" applyFont="1" applyBorder="1" applyAlignment="1">
      <alignment horizontal="right" vertical="center"/>
    </xf>
    <xf numFmtId="0" fontId="10" fillId="0" borderId="23" xfId="0" applyFont="1" applyBorder="1" applyAlignment="1">
      <alignment horizontal="right" vertical="center"/>
    </xf>
    <xf numFmtId="177" fontId="20" fillId="0" borderId="32" xfId="1" applyNumberFormat="1" applyFont="1" applyBorder="1" applyAlignment="1">
      <alignment horizontal="center" vertical="center"/>
    </xf>
    <xf numFmtId="177" fontId="20" fillId="0" borderId="33" xfId="1" applyNumberFormat="1" applyFont="1" applyBorder="1" applyAlignment="1">
      <alignment horizontal="center" vertical="center"/>
    </xf>
    <xf numFmtId="177" fontId="20" fillId="5" borderId="33" xfId="1" applyNumberFormat="1" applyFont="1" applyFill="1" applyBorder="1" applyAlignment="1">
      <alignment horizontal="center" vertical="center"/>
    </xf>
    <xf numFmtId="177" fontId="20" fillId="5" borderId="34" xfId="1" applyNumberFormat="1" applyFont="1" applyFill="1" applyBorder="1" applyAlignment="1">
      <alignment horizontal="center" vertical="center"/>
    </xf>
    <xf numFmtId="177" fontId="20" fillId="5" borderId="35" xfId="1" applyNumberFormat="1" applyFont="1" applyFill="1" applyBorder="1" applyAlignment="1">
      <alignment horizontal="center" vertical="center"/>
    </xf>
    <xf numFmtId="177" fontId="20" fillId="0" borderId="35" xfId="1" applyNumberFormat="1" applyFont="1" applyBorder="1" applyAlignment="1">
      <alignment horizontal="center" vertical="center"/>
    </xf>
    <xf numFmtId="177" fontId="20" fillId="0" borderId="36" xfId="1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178" fontId="0" fillId="6" borderId="0" xfId="0" applyNumberFormat="1" applyFill="1">
      <alignment vertical="center"/>
    </xf>
    <xf numFmtId="178" fontId="0" fillId="7" borderId="0" xfId="0" applyNumberFormat="1" applyFill="1">
      <alignment vertical="center"/>
    </xf>
    <xf numFmtId="0" fontId="0" fillId="4" borderId="0" xfId="0" applyFill="1">
      <alignment vertical="center"/>
    </xf>
    <xf numFmtId="1" fontId="0" fillId="0" borderId="0" xfId="0" applyNumberFormat="1">
      <alignment vertical="center"/>
    </xf>
    <xf numFmtId="1" fontId="0" fillId="0" borderId="0" xfId="0" applyNumberFormat="1" applyAlignment="1">
      <alignment vertical="center" wrapText="1"/>
    </xf>
    <xf numFmtId="17" fontId="0" fillId="0" borderId="0" xfId="0" applyNumberFormat="1">
      <alignment vertical="center"/>
    </xf>
    <xf numFmtId="20" fontId="0" fillId="0" borderId="0" xfId="0" applyNumberFormat="1">
      <alignment vertical="center"/>
    </xf>
    <xf numFmtId="14" fontId="0" fillId="0" borderId="0" xfId="0" applyNumberFormat="1">
      <alignment vertical="center"/>
    </xf>
    <xf numFmtId="179" fontId="0" fillId="8" borderId="0" xfId="0" applyNumberFormat="1" applyFill="1">
      <alignment vertical="center"/>
    </xf>
    <xf numFmtId="179" fontId="0" fillId="3" borderId="0" xfId="0" applyNumberFormat="1" applyFill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9" borderId="9" xfId="0" applyFill="1" applyBorder="1" applyAlignment="1">
      <alignment horizontal="left" vertical="center"/>
    </xf>
    <xf numFmtId="0" fontId="0" fillId="9" borderId="9" xfId="0" applyFill="1" applyBorder="1" applyAlignment="1">
      <alignment horizontal="right" vertical="center"/>
    </xf>
    <xf numFmtId="0" fontId="0" fillId="10" borderId="9" xfId="0" applyFill="1" applyBorder="1" applyAlignment="1">
      <alignment horizontal="right" vertical="center"/>
    </xf>
    <xf numFmtId="0" fontId="0" fillId="9" borderId="20" xfId="0" applyFill="1" applyBorder="1">
      <alignment vertical="center"/>
    </xf>
    <xf numFmtId="0" fontId="22" fillId="0" borderId="0" xfId="0" applyFont="1">
      <alignment vertical="center"/>
    </xf>
    <xf numFmtId="0" fontId="0" fillId="0" borderId="9" xfId="0" applyBorder="1">
      <alignment vertical="center"/>
    </xf>
    <xf numFmtId="0" fontId="0" fillId="0" borderId="20" xfId="0" applyBorder="1">
      <alignment vertical="center"/>
    </xf>
    <xf numFmtId="2" fontId="0" fillId="9" borderId="20" xfId="0" applyNumberFormat="1" applyFill="1" applyBorder="1">
      <alignment vertical="center"/>
    </xf>
    <xf numFmtId="3" fontId="0" fillId="9" borderId="20" xfId="0" applyNumberFormat="1" applyFill="1" applyBorder="1">
      <alignment vertical="center"/>
    </xf>
    <xf numFmtId="3" fontId="0" fillId="0" borderId="20" xfId="0" applyNumberFormat="1" applyBorder="1">
      <alignment vertical="center"/>
    </xf>
    <xf numFmtId="3" fontId="0" fillId="0" borderId="0" xfId="0" applyNumberFormat="1">
      <alignment vertical="center"/>
    </xf>
    <xf numFmtId="180" fontId="0" fillId="0" borderId="20" xfId="0" applyNumberFormat="1" applyBorder="1">
      <alignment vertical="center"/>
    </xf>
    <xf numFmtId="0" fontId="0" fillId="0" borderId="0" xfId="0" applyAlignment="1">
      <alignment horizontal="center" vertical="center"/>
    </xf>
    <xf numFmtId="181" fontId="0" fillId="0" borderId="20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shrinkToFit="1"/>
    </xf>
    <xf numFmtId="0" fontId="0" fillId="3" borderId="22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181" fontId="0" fillId="3" borderId="20" xfId="0" applyNumberFormat="1" applyFill="1" applyBorder="1">
      <alignment vertical="center"/>
    </xf>
    <xf numFmtId="181" fontId="0" fillId="11" borderId="20" xfId="0" applyNumberFormat="1" applyFill="1" applyBorder="1">
      <alignment vertical="center"/>
    </xf>
    <xf numFmtId="181" fontId="0" fillId="12" borderId="20" xfId="0" applyNumberFormat="1" applyFill="1" applyBorder="1">
      <alignment vertical="center"/>
    </xf>
    <xf numFmtId="182" fontId="0" fillId="0" borderId="20" xfId="0" applyNumberFormat="1" applyBorder="1">
      <alignment vertical="center"/>
    </xf>
    <xf numFmtId="9" fontId="0" fillId="0" borderId="0" xfId="2" applyFont="1">
      <alignment vertical="center"/>
    </xf>
    <xf numFmtId="183" fontId="0" fillId="0" borderId="20" xfId="0" applyNumberFormat="1" applyBorder="1">
      <alignment vertical="center"/>
    </xf>
    <xf numFmtId="181" fontId="0" fillId="0" borderId="0" xfId="0" applyNumberFormat="1">
      <alignment vertical="center"/>
    </xf>
    <xf numFmtId="184" fontId="15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2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0" fillId="0" borderId="20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22" xfId="0" applyFont="1" applyBorder="1" applyAlignment="1">
      <alignment horizontal="right" vertical="center"/>
    </xf>
    <xf numFmtId="0" fontId="10" fillId="0" borderId="20" xfId="0" applyFont="1" applyBorder="1" applyAlignment="1">
      <alignment horizontal="right" vertical="center"/>
    </xf>
    <xf numFmtId="0" fontId="11" fillId="0" borderId="27" xfId="0" applyFont="1" applyBorder="1" applyAlignment="1">
      <alignment horizontal="left" vertical="center"/>
    </xf>
    <xf numFmtId="0" fontId="10" fillId="0" borderId="27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0" fontId="10" fillId="4" borderId="20" xfId="0" applyNumberFormat="1" applyFont="1" applyFill="1" applyBorder="1" applyAlignment="1">
      <alignment horizontal="right" vertical="center"/>
    </xf>
    <xf numFmtId="0" fontId="11" fillId="4" borderId="20" xfId="0" applyFont="1" applyFill="1" applyBorder="1" applyAlignment="1">
      <alignment horizontal="right" vertical="center"/>
    </xf>
    <xf numFmtId="0" fontId="10" fillId="0" borderId="27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23" xfId="0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1" fillId="0" borderId="10" xfId="0" applyFont="1" applyBorder="1" applyAlignment="1">
      <alignment horizontal="right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textRotation="255"/>
    </xf>
    <xf numFmtId="0" fontId="10" fillId="0" borderId="5" xfId="0" applyFont="1" applyBorder="1" applyAlignment="1">
      <alignment horizontal="center" vertical="center" textRotation="255"/>
    </xf>
    <xf numFmtId="0" fontId="10" fillId="0" borderId="8" xfId="0" applyFont="1" applyBorder="1" applyAlignment="1">
      <alignment horizontal="center" vertical="center" textRotation="255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1" fillId="0" borderId="11" xfId="0" applyFont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4" borderId="22" xfId="0" applyFont="1" applyFill="1" applyBorder="1" applyAlignment="1">
      <alignment vertical="center" shrinkToFit="1"/>
    </xf>
    <xf numFmtId="0" fontId="10" fillId="0" borderId="9" xfId="0" applyFont="1" applyBorder="1" applyAlignment="1">
      <alignment horizontal="righ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textRotation="255"/>
    </xf>
    <xf numFmtId="0" fontId="10" fillId="0" borderId="21" xfId="0" applyFont="1" applyBorder="1" applyAlignment="1">
      <alignment horizontal="center" vertical="center" textRotation="255"/>
    </xf>
    <xf numFmtId="0" fontId="10" fillId="0" borderId="2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/>
    </xf>
    <xf numFmtId="0" fontId="10" fillId="0" borderId="2" xfId="0" quotePrefix="1" applyFont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 wrapText="1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4">
    <cellStyle name="パーセント" xfId="2" builtinId="5"/>
    <cellStyle name="標準" xfId="0" builtinId="0"/>
    <cellStyle name="標準 2" xfId="1" xr:uid="{00000000-0005-0000-0000-000001000000}"/>
    <cellStyle name="標準 4 2" xfId="3" xr:uid="{7E6D86D6-7337-4F32-8D73-3CE4EF57CCD1}"/>
  </cellStyles>
  <dxfs count="1">
    <dxf>
      <font>
        <b/>
        <i val="0"/>
        <condense val="0"/>
        <extend val="0"/>
        <color indexed="53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12</xdr:col>
      <xdr:colOff>349624</xdr:colOff>
      <xdr:row>36</xdr:row>
      <xdr:rowOff>63604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1600"/>
          <a:ext cx="7772400" cy="4079792"/>
        </a:xfrm>
        <a:prstGeom prst="rect">
          <a:avLst/>
        </a:prstGeom>
      </xdr:spPr>
    </xdr:pic>
    <xdr:clientData/>
  </xdr:twoCellAnchor>
  <xdr:twoCellAnchor editAs="oneCell">
    <xdr:from>
      <xdr:col>12</xdr:col>
      <xdr:colOff>349624</xdr:colOff>
      <xdr:row>7</xdr:row>
      <xdr:rowOff>134470</xdr:rowOff>
    </xdr:from>
    <xdr:to>
      <xdr:col>19</xdr:col>
      <xdr:colOff>65891</xdr:colOff>
      <xdr:row>38</xdr:row>
      <xdr:rowOff>92336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362635"/>
          <a:ext cx="4046220" cy="440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T55"/>
  <sheetViews>
    <sheetView zoomScale="85" zoomScaleNormal="70" zoomScaleSheetLayoutView="85" zoomScalePageLayoutView="55" workbookViewId="0">
      <selection activeCell="S4" sqref="S4"/>
    </sheetView>
  </sheetViews>
  <sheetFormatPr defaultColWidth="9" defaultRowHeight="13.5" x14ac:dyDescent="0.15"/>
  <cols>
    <col min="1" max="19" width="9" style="3"/>
    <col min="20" max="20" width="2.625" style="3" customWidth="1"/>
    <col min="21" max="16384" width="9" style="3"/>
  </cols>
  <sheetData>
    <row r="1" spans="1:20" x14ac:dyDescent="0.15">
      <c r="T1" s="4" t="s">
        <v>114</v>
      </c>
    </row>
    <row r="3" spans="1:20" ht="14.25" thickBot="1" x14ac:dyDescent="0.2">
      <c r="M3" s="2" t="s">
        <v>110</v>
      </c>
      <c r="O3" s="2"/>
    </row>
    <row r="4" spans="1:20" ht="18.75" customHeight="1" x14ac:dyDescent="0.1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 t="e">
        <f>#REF!</f>
        <v>#REF!</v>
      </c>
      <c r="T4" s="5"/>
    </row>
    <row r="5" spans="1:20" ht="18.75" customHeight="1" x14ac:dyDescent="0.15">
      <c r="A5" s="6"/>
      <c r="P5" s="7" t="s">
        <v>111</v>
      </c>
      <c r="Q5" s="8"/>
      <c r="R5" s="112" t="e">
        <f>#REF!</f>
        <v>#REF!</v>
      </c>
      <c r="S5" s="112"/>
      <c r="T5" s="9"/>
    </row>
    <row r="6" spans="1:20" x14ac:dyDescent="0.15">
      <c r="A6" s="105" t="s">
        <v>115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9"/>
    </row>
    <row r="7" spans="1:20" x14ac:dyDescent="0.15">
      <c r="A7" s="109" t="s">
        <v>116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1"/>
    </row>
    <row r="8" spans="1:20" x14ac:dyDescent="0.15">
      <c r="A8" s="107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9"/>
    </row>
    <row r="9" spans="1:20" x14ac:dyDescent="0.15">
      <c r="A9" s="6"/>
      <c r="T9" s="9"/>
    </row>
    <row r="10" spans="1:20" x14ac:dyDescent="0.15">
      <c r="A10" s="6"/>
      <c r="K10" s="18"/>
      <c r="L10" s="17"/>
      <c r="T10" s="9"/>
    </row>
    <row r="11" spans="1:20" x14ac:dyDescent="0.15">
      <c r="A11" s="6"/>
      <c r="L11" s="17"/>
      <c r="T11" s="9"/>
    </row>
    <row r="12" spans="1:20" x14ac:dyDescent="0.15">
      <c r="A12" s="6"/>
      <c r="T12" s="9"/>
    </row>
    <row r="13" spans="1:20" x14ac:dyDescent="0.15">
      <c r="A13" s="6"/>
      <c r="T13" s="9"/>
    </row>
    <row r="14" spans="1:20" x14ac:dyDescent="0.15">
      <c r="A14" s="6"/>
      <c r="T14" s="9"/>
    </row>
    <row r="15" spans="1:20" x14ac:dyDescent="0.15">
      <c r="A15" s="6"/>
      <c r="T15" s="9"/>
    </row>
    <row r="16" spans="1:20" x14ac:dyDescent="0.15">
      <c r="A16" s="6"/>
      <c r="T16" s="9"/>
    </row>
    <row r="17" spans="1:20" x14ac:dyDescent="0.15">
      <c r="A17" s="6"/>
      <c r="T17" s="9"/>
    </row>
    <row r="18" spans="1:20" x14ac:dyDescent="0.15">
      <c r="A18" s="6"/>
      <c r="T18" s="9"/>
    </row>
    <row r="19" spans="1:20" x14ac:dyDescent="0.15">
      <c r="A19" s="6"/>
      <c r="T19" s="9"/>
    </row>
    <row r="20" spans="1:20" x14ac:dyDescent="0.15">
      <c r="A20" s="6"/>
      <c r="T20" s="9"/>
    </row>
    <row r="21" spans="1:20" x14ac:dyDescent="0.15">
      <c r="A21" s="6"/>
      <c r="T21" s="9"/>
    </row>
    <row r="22" spans="1:20" x14ac:dyDescent="0.15">
      <c r="A22" s="6"/>
      <c r="T22" s="9"/>
    </row>
    <row r="23" spans="1:20" x14ac:dyDescent="0.15">
      <c r="A23" s="6"/>
      <c r="T23" s="9"/>
    </row>
    <row r="24" spans="1:20" x14ac:dyDescent="0.15">
      <c r="A24" s="6"/>
      <c r="T24" s="9"/>
    </row>
    <row r="25" spans="1:20" x14ac:dyDescent="0.15">
      <c r="A25" s="6"/>
      <c r="T25" s="9"/>
    </row>
    <row r="26" spans="1:20" x14ac:dyDescent="0.15">
      <c r="A26" s="6"/>
      <c r="T26" s="9"/>
    </row>
    <row r="27" spans="1:20" x14ac:dyDescent="0.15">
      <c r="A27" s="6"/>
      <c r="T27" s="9"/>
    </row>
    <row r="28" spans="1:20" x14ac:dyDescent="0.15">
      <c r="A28" s="6"/>
      <c r="T28" s="9"/>
    </row>
    <row r="29" spans="1:20" x14ac:dyDescent="0.15">
      <c r="A29" s="6"/>
      <c r="T29" s="9"/>
    </row>
    <row r="30" spans="1:20" x14ac:dyDescent="0.15">
      <c r="A30" s="6"/>
      <c r="T30" s="9"/>
    </row>
    <row r="31" spans="1:20" x14ac:dyDescent="0.15">
      <c r="A31" s="6"/>
      <c r="T31" s="9"/>
    </row>
    <row r="32" spans="1:20" x14ac:dyDescent="0.15">
      <c r="A32" s="6"/>
      <c r="T32" s="9"/>
    </row>
    <row r="33" spans="1:20" x14ac:dyDescent="0.15">
      <c r="A33" s="6"/>
      <c r="T33" s="9"/>
    </row>
    <row r="34" spans="1:20" x14ac:dyDescent="0.15">
      <c r="A34" s="6"/>
      <c r="T34" s="9"/>
    </row>
    <row r="35" spans="1:20" x14ac:dyDescent="0.15">
      <c r="A35" s="6"/>
      <c r="T35" s="9"/>
    </row>
    <row r="36" spans="1:20" x14ac:dyDescent="0.15">
      <c r="A36" s="6"/>
      <c r="T36" s="9"/>
    </row>
    <row r="37" spans="1:20" x14ac:dyDescent="0.15">
      <c r="A37" s="6"/>
      <c r="T37" s="9"/>
    </row>
    <row r="38" spans="1:20" x14ac:dyDescent="0.15">
      <c r="A38" s="6"/>
      <c r="T38" s="9"/>
    </row>
    <row r="39" spans="1:20" x14ac:dyDescent="0.15">
      <c r="A39" s="6"/>
      <c r="T39" s="9"/>
    </row>
    <row r="40" spans="1:20" x14ac:dyDescent="0.15">
      <c r="A40" s="6"/>
      <c r="T40" s="9"/>
    </row>
    <row r="41" spans="1:20" x14ac:dyDescent="0.15">
      <c r="A41" s="6"/>
      <c r="T41" s="9"/>
    </row>
    <row r="42" spans="1:20" x14ac:dyDescent="0.15">
      <c r="A42" s="6"/>
      <c r="T42" s="9"/>
    </row>
    <row r="43" spans="1:20" x14ac:dyDescent="0.15">
      <c r="A43" s="6"/>
      <c r="T43" s="9"/>
    </row>
    <row r="44" spans="1:20" x14ac:dyDescent="0.15">
      <c r="A44" s="6"/>
      <c r="T44" s="9"/>
    </row>
    <row r="45" spans="1:20" x14ac:dyDescent="0.15">
      <c r="A45" s="6"/>
      <c r="T45" s="9"/>
    </row>
    <row r="46" spans="1:20" x14ac:dyDescent="0.15">
      <c r="A46" s="6"/>
      <c r="T46" s="9"/>
    </row>
    <row r="47" spans="1:20" x14ac:dyDescent="0.15">
      <c r="A47" s="6"/>
      <c r="T47" s="9"/>
    </row>
    <row r="48" spans="1:20" x14ac:dyDescent="0.15">
      <c r="A48" s="6"/>
      <c r="T48" s="9"/>
    </row>
    <row r="49" spans="1:20" x14ac:dyDescent="0.15">
      <c r="A49" s="6"/>
      <c r="T49" s="9"/>
    </row>
    <row r="50" spans="1:20" x14ac:dyDescent="0.15">
      <c r="A50" s="6"/>
      <c r="T50" s="9"/>
    </row>
    <row r="51" spans="1:20" x14ac:dyDescent="0.15">
      <c r="A51" s="6"/>
      <c r="T51" s="9"/>
    </row>
    <row r="52" spans="1:20" x14ac:dyDescent="0.15">
      <c r="A52" s="6"/>
      <c r="T52" s="9"/>
    </row>
    <row r="53" spans="1:20" x14ac:dyDescent="0.15">
      <c r="A53" s="6"/>
      <c r="T53" s="9"/>
    </row>
    <row r="54" spans="1:20" x14ac:dyDescent="0.15">
      <c r="A54" s="13"/>
      <c r="T54" s="9"/>
    </row>
    <row r="55" spans="1:20" ht="14.25" thickBot="1" x14ac:dyDescent="0.2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2"/>
    </row>
  </sheetData>
  <mergeCells count="4">
    <mergeCell ref="A6:S6"/>
    <mergeCell ref="A8:S8"/>
    <mergeCell ref="A7:T7"/>
    <mergeCell ref="R5:S5"/>
  </mergeCells>
  <phoneticPr fontId="3"/>
  <pageMargins left="0.74803149606299213" right="0.27559055118110237" top="0.27559055118110237" bottom="0.31496062992125984" header="0.19685039370078741" footer="0.19685039370078741"/>
  <pageSetup paperSize="9" scale="7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1940-DF62-40DF-9754-4D0245F477EC}">
  <sheetPr>
    <tabColor theme="0" tint="-0.499984740745262"/>
  </sheetPr>
  <dimension ref="A2:AX20"/>
  <sheetViews>
    <sheetView zoomScale="90" zoomScaleNormal="90" workbookViewId="0">
      <selection activeCell="C17" sqref="C17"/>
    </sheetView>
  </sheetViews>
  <sheetFormatPr defaultRowHeight="13.5" x14ac:dyDescent="0.15"/>
  <cols>
    <col min="1" max="1" width="3.5" bestFit="1" customWidth="1"/>
    <col min="3" max="18" width="9" bestFit="1" customWidth="1"/>
    <col min="19" max="46" width="9.5" bestFit="1" customWidth="1"/>
    <col min="47" max="50" width="9" bestFit="1" customWidth="1"/>
    <col min="257" max="257" width="3.5" bestFit="1" customWidth="1"/>
    <col min="259" max="274" width="9" bestFit="1" customWidth="1"/>
    <col min="275" max="302" width="9.5" bestFit="1" customWidth="1"/>
    <col min="303" max="306" width="9" bestFit="1" customWidth="1"/>
    <col min="513" max="513" width="3.5" bestFit="1" customWidth="1"/>
    <col min="515" max="530" width="9" bestFit="1" customWidth="1"/>
    <col min="531" max="558" width="9.5" bestFit="1" customWidth="1"/>
    <col min="559" max="562" width="9" bestFit="1" customWidth="1"/>
    <col min="769" max="769" width="3.5" bestFit="1" customWidth="1"/>
    <col min="771" max="786" width="9" bestFit="1" customWidth="1"/>
    <col min="787" max="814" width="9.5" bestFit="1" customWidth="1"/>
    <col min="815" max="818" width="9" bestFit="1" customWidth="1"/>
    <col min="1025" max="1025" width="3.5" bestFit="1" customWidth="1"/>
    <col min="1027" max="1042" width="9" bestFit="1" customWidth="1"/>
    <col min="1043" max="1070" width="9.5" bestFit="1" customWidth="1"/>
    <col min="1071" max="1074" width="9" bestFit="1" customWidth="1"/>
    <col min="1281" max="1281" width="3.5" bestFit="1" customWidth="1"/>
    <col min="1283" max="1298" width="9" bestFit="1" customWidth="1"/>
    <col min="1299" max="1326" width="9.5" bestFit="1" customWidth="1"/>
    <col min="1327" max="1330" width="9" bestFit="1" customWidth="1"/>
    <col min="1537" max="1537" width="3.5" bestFit="1" customWidth="1"/>
    <col min="1539" max="1554" width="9" bestFit="1" customWidth="1"/>
    <col min="1555" max="1582" width="9.5" bestFit="1" customWidth="1"/>
    <col min="1583" max="1586" width="9" bestFit="1" customWidth="1"/>
    <col min="1793" max="1793" width="3.5" bestFit="1" customWidth="1"/>
    <col min="1795" max="1810" width="9" bestFit="1" customWidth="1"/>
    <col min="1811" max="1838" width="9.5" bestFit="1" customWidth="1"/>
    <col min="1839" max="1842" width="9" bestFit="1" customWidth="1"/>
    <col min="2049" max="2049" width="3.5" bestFit="1" customWidth="1"/>
    <col min="2051" max="2066" width="9" bestFit="1" customWidth="1"/>
    <col min="2067" max="2094" width="9.5" bestFit="1" customWidth="1"/>
    <col min="2095" max="2098" width="9" bestFit="1" customWidth="1"/>
    <col min="2305" max="2305" width="3.5" bestFit="1" customWidth="1"/>
    <col min="2307" max="2322" width="9" bestFit="1" customWidth="1"/>
    <col min="2323" max="2350" width="9.5" bestFit="1" customWidth="1"/>
    <col min="2351" max="2354" width="9" bestFit="1" customWidth="1"/>
    <col min="2561" max="2561" width="3.5" bestFit="1" customWidth="1"/>
    <col min="2563" max="2578" width="9" bestFit="1" customWidth="1"/>
    <col min="2579" max="2606" width="9.5" bestFit="1" customWidth="1"/>
    <col min="2607" max="2610" width="9" bestFit="1" customWidth="1"/>
    <col min="2817" max="2817" width="3.5" bestFit="1" customWidth="1"/>
    <col min="2819" max="2834" width="9" bestFit="1" customWidth="1"/>
    <col min="2835" max="2862" width="9.5" bestFit="1" customWidth="1"/>
    <col min="2863" max="2866" width="9" bestFit="1" customWidth="1"/>
    <col min="3073" max="3073" width="3.5" bestFit="1" customWidth="1"/>
    <col min="3075" max="3090" width="9" bestFit="1" customWidth="1"/>
    <col min="3091" max="3118" width="9.5" bestFit="1" customWidth="1"/>
    <col min="3119" max="3122" width="9" bestFit="1" customWidth="1"/>
    <col min="3329" max="3329" width="3.5" bestFit="1" customWidth="1"/>
    <col min="3331" max="3346" width="9" bestFit="1" customWidth="1"/>
    <col min="3347" max="3374" width="9.5" bestFit="1" customWidth="1"/>
    <col min="3375" max="3378" width="9" bestFit="1" customWidth="1"/>
    <col min="3585" max="3585" width="3.5" bestFit="1" customWidth="1"/>
    <col min="3587" max="3602" width="9" bestFit="1" customWidth="1"/>
    <col min="3603" max="3630" width="9.5" bestFit="1" customWidth="1"/>
    <col min="3631" max="3634" width="9" bestFit="1" customWidth="1"/>
    <col min="3841" max="3841" width="3.5" bestFit="1" customWidth="1"/>
    <col min="3843" max="3858" width="9" bestFit="1" customWidth="1"/>
    <col min="3859" max="3886" width="9.5" bestFit="1" customWidth="1"/>
    <col min="3887" max="3890" width="9" bestFit="1" customWidth="1"/>
    <col min="4097" max="4097" width="3.5" bestFit="1" customWidth="1"/>
    <col min="4099" max="4114" width="9" bestFit="1" customWidth="1"/>
    <col min="4115" max="4142" width="9.5" bestFit="1" customWidth="1"/>
    <col min="4143" max="4146" width="9" bestFit="1" customWidth="1"/>
    <col min="4353" max="4353" width="3.5" bestFit="1" customWidth="1"/>
    <col min="4355" max="4370" width="9" bestFit="1" customWidth="1"/>
    <col min="4371" max="4398" width="9.5" bestFit="1" customWidth="1"/>
    <col min="4399" max="4402" width="9" bestFit="1" customWidth="1"/>
    <col min="4609" max="4609" width="3.5" bestFit="1" customWidth="1"/>
    <col min="4611" max="4626" width="9" bestFit="1" customWidth="1"/>
    <col min="4627" max="4654" width="9.5" bestFit="1" customWidth="1"/>
    <col min="4655" max="4658" width="9" bestFit="1" customWidth="1"/>
    <col min="4865" max="4865" width="3.5" bestFit="1" customWidth="1"/>
    <col min="4867" max="4882" width="9" bestFit="1" customWidth="1"/>
    <col min="4883" max="4910" width="9.5" bestFit="1" customWidth="1"/>
    <col min="4911" max="4914" width="9" bestFit="1" customWidth="1"/>
    <col min="5121" max="5121" width="3.5" bestFit="1" customWidth="1"/>
    <col min="5123" max="5138" width="9" bestFit="1" customWidth="1"/>
    <col min="5139" max="5166" width="9.5" bestFit="1" customWidth="1"/>
    <col min="5167" max="5170" width="9" bestFit="1" customWidth="1"/>
    <col min="5377" max="5377" width="3.5" bestFit="1" customWidth="1"/>
    <col min="5379" max="5394" width="9" bestFit="1" customWidth="1"/>
    <col min="5395" max="5422" width="9.5" bestFit="1" customWidth="1"/>
    <col min="5423" max="5426" width="9" bestFit="1" customWidth="1"/>
    <col min="5633" max="5633" width="3.5" bestFit="1" customWidth="1"/>
    <col min="5635" max="5650" width="9" bestFit="1" customWidth="1"/>
    <col min="5651" max="5678" width="9.5" bestFit="1" customWidth="1"/>
    <col min="5679" max="5682" width="9" bestFit="1" customWidth="1"/>
    <col min="5889" max="5889" width="3.5" bestFit="1" customWidth="1"/>
    <col min="5891" max="5906" width="9" bestFit="1" customWidth="1"/>
    <col min="5907" max="5934" width="9.5" bestFit="1" customWidth="1"/>
    <col min="5935" max="5938" width="9" bestFit="1" customWidth="1"/>
    <col min="6145" max="6145" width="3.5" bestFit="1" customWidth="1"/>
    <col min="6147" max="6162" width="9" bestFit="1" customWidth="1"/>
    <col min="6163" max="6190" width="9.5" bestFit="1" customWidth="1"/>
    <col min="6191" max="6194" width="9" bestFit="1" customWidth="1"/>
    <col min="6401" max="6401" width="3.5" bestFit="1" customWidth="1"/>
    <col min="6403" max="6418" width="9" bestFit="1" customWidth="1"/>
    <col min="6419" max="6446" width="9.5" bestFit="1" customWidth="1"/>
    <col min="6447" max="6450" width="9" bestFit="1" customWidth="1"/>
    <col min="6657" max="6657" width="3.5" bestFit="1" customWidth="1"/>
    <col min="6659" max="6674" width="9" bestFit="1" customWidth="1"/>
    <col min="6675" max="6702" width="9.5" bestFit="1" customWidth="1"/>
    <col min="6703" max="6706" width="9" bestFit="1" customWidth="1"/>
    <col min="6913" max="6913" width="3.5" bestFit="1" customWidth="1"/>
    <col min="6915" max="6930" width="9" bestFit="1" customWidth="1"/>
    <col min="6931" max="6958" width="9.5" bestFit="1" customWidth="1"/>
    <col min="6959" max="6962" width="9" bestFit="1" customWidth="1"/>
    <col min="7169" max="7169" width="3.5" bestFit="1" customWidth="1"/>
    <col min="7171" max="7186" width="9" bestFit="1" customWidth="1"/>
    <col min="7187" max="7214" width="9.5" bestFit="1" customWidth="1"/>
    <col min="7215" max="7218" width="9" bestFit="1" customWidth="1"/>
    <col min="7425" max="7425" width="3.5" bestFit="1" customWidth="1"/>
    <col min="7427" max="7442" width="9" bestFit="1" customWidth="1"/>
    <col min="7443" max="7470" width="9.5" bestFit="1" customWidth="1"/>
    <col min="7471" max="7474" width="9" bestFit="1" customWidth="1"/>
    <col min="7681" max="7681" width="3.5" bestFit="1" customWidth="1"/>
    <col min="7683" max="7698" width="9" bestFit="1" customWidth="1"/>
    <col min="7699" max="7726" width="9.5" bestFit="1" customWidth="1"/>
    <col min="7727" max="7730" width="9" bestFit="1" customWidth="1"/>
    <col min="7937" max="7937" width="3.5" bestFit="1" customWidth="1"/>
    <col min="7939" max="7954" width="9" bestFit="1" customWidth="1"/>
    <col min="7955" max="7982" width="9.5" bestFit="1" customWidth="1"/>
    <col min="7983" max="7986" width="9" bestFit="1" customWidth="1"/>
    <col min="8193" max="8193" width="3.5" bestFit="1" customWidth="1"/>
    <col min="8195" max="8210" width="9" bestFit="1" customWidth="1"/>
    <col min="8211" max="8238" width="9.5" bestFit="1" customWidth="1"/>
    <col min="8239" max="8242" width="9" bestFit="1" customWidth="1"/>
    <col min="8449" max="8449" width="3.5" bestFit="1" customWidth="1"/>
    <col min="8451" max="8466" width="9" bestFit="1" customWidth="1"/>
    <col min="8467" max="8494" width="9.5" bestFit="1" customWidth="1"/>
    <col min="8495" max="8498" width="9" bestFit="1" customWidth="1"/>
    <col min="8705" max="8705" width="3.5" bestFit="1" customWidth="1"/>
    <col min="8707" max="8722" width="9" bestFit="1" customWidth="1"/>
    <col min="8723" max="8750" width="9.5" bestFit="1" customWidth="1"/>
    <col min="8751" max="8754" width="9" bestFit="1" customWidth="1"/>
    <col min="8961" max="8961" width="3.5" bestFit="1" customWidth="1"/>
    <col min="8963" max="8978" width="9" bestFit="1" customWidth="1"/>
    <col min="8979" max="9006" width="9.5" bestFit="1" customWidth="1"/>
    <col min="9007" max="9010" width="9" bestFit="1" customWidth="1"/>
    <col min="9217" max="9217" width="3.5" bestFit="1" customWidth="1"/>
    <col min="9219" max="9234" width="9" bestFit="1" customWidth="1"/>
    <col min="9235" max="9262" width="9.5" bestFit="1" customWidth="1"/>
    <col min="9263" max="9266" width="9" bestFit="1" customWidth="1"/>
    <col min="9473" max="9473" width="3.5" bestFit="1" customWidth="1"/>
    <col min="9475" max="9490" width="9" bestFit="1" customWidth="1"/>
    <col min="9491" max="9518" width="9.5" bestFit="1" customWidth="1"/>
    <col min="9519" max="9522" width="9" bestFit="1" customWidth="1"/>
    <col min="9729" max="9729" width="3.5" bestFit="1" customWidth="1"/>
    <col min="9731" max="9746" width="9" bestFit="1" customWidth="1"/>
    <col min="9747" max="9774" width="9.5" bestFit="1" customWidth="1"/>
    <col min="9775" max="9778" width="9" bestFit="1" customWidth="1"/>
    <col min="9985" max="9985" width="3.5" bestFit="1" customWidth="1"/>
    <col min="9987" max="10002" width="9" bestFit="1" customWidth="1"/>
    <col min="10003" max="10030" width="9.5" bestFit="1" customWidth="1"/>
    <col min="10031" max="10034" width="9" bestFit="1" customWidth="1"/>
    <col min="10241" max="10241" width="3.5" bestFit="1" customWidth="1"/>
    <col min="10243" max="10258" width="9" bestFit="1" customWidth="1"/>
    <col min="10259" max="10286" width="9.5" bestFit="1" customWidth="1"/>
    <col min="10287" max="10290" width="9" bestFit="1" customWidth="1"/>
    <col min="10497" max="10497" width="3.5" bestFit="1" customWidth="1"/>
    <col min="10499" max="10514" width="9" bestFit="1" customWidth="1"/>
    <col min="10515" max="10542" width="9.5" bestFit="1" customWidth="1"/>
    <col min="10543" max="10546" width="9" bestFit="1" customWidth="1"/>
    <col min="10753" max="10753" width="3.5" bestFit="1" customWidth="1"/>
    <col min="10755" max="10770" width="9" bestFit="1" customWidth="1"/>
    <col min="10771" max="10798" width="9.5" bestFit="1" customWidth="1"/>
    <col min="10799" max="10802" width="9" bestFit="1" customWidth="1"/>
    <col min="11009" max="11009" width="3.5" bestFit="1" customWidth="1"/>
    <col min="11011" max="11026" width="9" bestFit="1" customWidth="1"/>
    <col min="11027" max="11054" width="9.5" bestFit="1" customWidth="1"/>
    <col min="11055" max="11058" width="9" bestFit="1" customWidth="1"/>
    <col min="11265" max="11265" width="3.5" bestFit="1" customWidth="1"/>
    <col min="11267" max="11282" width="9" bestFit="1" customWidth="1"/>
    <col min="11283" max="11310" width="9.5" bestFit="1" customWidth="1"/>
    <col min="11311" max="11314" width="9" bestFit="1" customWidth="1"/>
    <col min="11521" max="11521" width="3.5" bestFit="1" customWidth="1"/>
    <col min="11523" max="11538" width="9" bestFit="1" customWidth="1"/>
    <col min="11539" max="11566" width="9.5" bestFit="1" customWidth="1"/>
    <col min="11567" max="11570" width="9" bestFit="1" customWidth="1"/>
    <col min="11777" max="11777" width="3.5" bestFit="1" customWidth="1"/>
    <col min="11779" max="11794" width="9" bestFit="1" customWidth="1"/>
    <col min="11795" max="11822" width="9.5" bestFit="1" customWidth="1"/>
    <col min="11823" max="11826" width="9" bestFit="1" customWidth="1"/>
    <col min="12033" max="12033" width="3.5" bestFit="1" customWidth="1"/>
    <col min="12035" max="12050" width="9" bestFit="1" customWidth="1"/>
    <col min="12051" max="12078" width="9.5" bestFit="1" customWidth="1"/>
    <col min="12079" max="12082" width="9" bestFit="1" customWidth="1"/>
    <col min="12289" max="12289" width="3.5" bestFit="1" customWidth="1"/>
    <col min="12291" max="12306" width="9" bestFit="1" customWidth="1"/>
    <col min="12307" max="12334" width="9.5" bestFit="1" customWidth="1"/>
    <col min="12335" max="12338" width="9" bestFit="1" customWidth="1"/>
    <col min="12545" max="12545" width="3.5" bestFit="1" customWidth="1"/>
    <col min="12547" max="12562" width="9" bestFit="1" customWidth="1"/>
    <col min="12563" max="12590" width="9.5" bestFit="1" customWidth="1"/>
    <col min="12591" max="12594" width="9" bestFit="1" customWidth="1"/>
    <col min="12801" max="12801" width="3.5" bestFit="1" customWidth="1"/>
    <col min="12803" max="12818" width="9" bestFit="1" customWidth="1"/>
    <col min="12819" max="12846" width="9.5" bestFit="1" customWidth="1"/>
    <col min="12847" max="12850" width="9" bestFit="1" customWidth="1"/>
    <col min="13057" max="13057" width="3.5" bestFit="1" customWidth="1"/>
    <col min="13059" max="13074" width="9" bestFit="1" customWidth="1"/>
    <col min="13075" max="13102" width="9.5" bestFit="1" customWidth="1"/>
    <col min="13103" max="13106" width="9" bestFit="1" customWidth="1"/>
    <col min="13313" max="13313" width="3.5" bestFit="1" customWidth="1"/>
    <col min="13315" max="13330" width="9" bestFit="1" customWidth="1"/>
    <col min="13331" max="13358" width="9.5" bestFit="1" customWidth="1"/>
    <col min="13359" max="13362" width="9" bestFit="1" customWidth="1"/>
    <col min="13569" max="13569" width="3.5" bestFit="1" customWidth="1"/>
    <col min="13571" max="13586" width="9" bestFit="1" customWidth="1"/>
    <col min="13587" max="13614" width="9.5" bestFit="1" customWidth="1"/>
    <col min="13615" max="13618" width="9" bestFit="1" customWidth="1"/>
    <col min="13825" max="13825" width="3.5" bestFit="1" customWidth="1"/>
    <col min="13827" max="13842" width="9" bestFit="1" customWidth="1"/>
    <col min="13843" max="13870" width="9.5" bestFit="1" customWidth="1"/>
    <col min="13871" max="13874" width="9" bestFit="1" customWidth="1"/>
    <col min="14081" max="14081" width="3.5" bestFit="1" customWidth="1"/>
    <col min="14083" max="14098" width="9" bestFit="1" customWidth="1"/>
    <col min="14099" max="14126" width="9.5" bestFit="1" customWidth="1"/>
    <col min="14127" max="14130" width="9" bestFit="1" customWidth="1"/>
    <col min="14337" max="14337" width="3.5" bestFit="1" customWidth="1"/>
    <col min="14339" max="14354" width="9" bestFit="1" customWidth="1"/>
    <col min="14355" max="14382" width="9.5" bestFit="1" customWidth="1"/>
    <col min="14383" max="14386" width="9" bestFit="1" customWidth="1"/>
    <col min="14593" max="14593" width="3.5" bestFit="1" customWidth="1"/>
    <col min="14595" max="14610" width="9" bestFit="1" customWidth="1"/>
    <col min="14611" max="14638" width="9.5" bestFit="1" customWidth="1"/>
    <col min="14639" max="14642" width="9" bestFit="1" customWidth="1"/>
    <col min="14849" max="14849" width="3.5" bestFit="1" customWidth="1"/>
    <col min="14851" max="14866" width="9" bestFit="1" customWidth="1"/>
    <col min="14867" max="14894" width="9.5" bestFit="1" customWidth="1"/>
    <col min="14895" max="14898" width="9" bestFit="1" customWidth="1"/>
    <col min="15105" max="15105" width="3.5" bestFit="1" customWidth="1"/>
    <col min="15107" max="15122" width="9" bestFit="1" customWidth="1"/>
    <col min="15123" max="15150" width="9.5" bestFit="1" customWidth="1"/>
    <col min="15151" max="15154" width="9" bestFit="1" customWidth="1"/>
    <col min="15361" max="15361" width="3.5" bestFit="1" customWidth="1"/>
    <col min="15363" max="15378" width="9" bestFit="1" customWidth="1"/>
    <col min="15379" max="15406" width="9.5" bestFit="1" customWidth="1"/>
    <col min="15407" max="15410" width="9" bestFit="1" customWidth="1"/>
    <col min="15617" max="15617" width="3.5" bestFit="1" customWidth="1"/>
    <col min="15619" max="15634" width="9" bestFit="1" customWidth="1"/>
    <col min="15635" max="15662" width="9.5" bestFit="1" customWidth="1"/>
    <col min="15663" max="15666" width="9" bestFit="1" customWidth="1"/>
    <col min="15873" max="15873" width="3.5" bestFit="1" customWidth="1"/>
    <col min="15875" max="15890" width="9" bestFit="1" customWidth="1"/>
    <col min="15891" max="15918" width="9.5" bestFit="1" customWidth="1"/>
    <col min="15919" max="15922" width="9" bestFit="1" customWidth="1"/>
    <col min="16129" max="16129" width="3.5" bestFit="1" customWidth="1"/>
    <col min="16131" max="16146" width="9" bestFit="1" customWidth="1"/>
    <col min="16147" max="16174" width="9.5" bestFit="1" customWidth="1"/>
    <col min="16175" max="16178" width="9" bestFit="1" customWidth="1"/>
  </cols>
  <sheetData>
    <row r="2" spans="1:50" ht="14.25" x14ac:dyDescent="0.15">
      <c r="C2" s="57">
        <v>2.0833333333333332E-2</v>
      </c>
      <c r="D2" s="58">
        <v>4.1666666666666664E-2</v>
      </c>
      <c r="E2" s="58">
        <v>6.25E-2</v>
      </c>
      <c r="F2" s="58">
        <v>8.3333333333333329E-2</v>
      </c>
      <c r="G2" s="58">
        <v>0.10416666666666667</v>
      </c>
      <c r="H2" s="58">
        <v>0.125</v>
      </c>
      <c r="I2" s="58">
        <v>0.14583333333333334</v>
      </c>
      <c r="J2" s="58">
        <v>0.16666666666666666</v>
      </c>
      <c r="K2" s="58">
        <v>0.1875</v>
      </c>
      <c r="L2" s="58">
        <v>0.20833333333333334</v>
      </c>
      <c r="M2" s="58">
        <v>0.22916666666666666</v>
      </c>
      <c r="N2" s="59">
        <v>0.25</v>
      </c>
      <c r="O2" s="59">
        <v>0.27083333333333331</v>
      </c>
      <c r="P2" s="60">
        <v>0.29166666666666669</v>
      </c>
      <c r="Q2" s="59">
        <v>0.3125</v>
      </c>
      <c r="R2" s="61">
        <v>0.33333333333333331</v>
      </c>
      <c r="S2" s="59">
        <v>0.35416666666666669</v>
      </c>
      <c r="T2" s="59">
        <v>0.375</v>
      </c>
      <c r="U2" s="59">
        <v>0.39583333333333331</v>
      </c>
      <c r="V2" s="59">
        <v>0.41666666666666669</v>
      </c>
      <c r="W2" s="59">
        <v>0.4375</v>
      </c>
      <c r="X2" s="59">
        <v>0.45833333333333331</v>
      </c>
      <c r="Y2" s="59">
        <v>0.47916666666666669</v>
      </c>
      <c r="Z2" s="59">
        <v>0.5</v>
      </c>
      <c r="AA2" s="60">
        <v>0.52083333333333337</v>
      </c>
      <c r="AB2" s="59">
        <v>0.54166666666666663</v>
      </c>
      <c r="AC2" s="59">
        <v>0.5625</v>
      </c>
      <c r="AD2" s="59">
        <v>0.58333333333333337</v>
      </c>
      <c r="AE2" s="58">
        <v>0.60416666666666663</v>
      </c>
      <c r="AF2" s="58">
        <v>0.625</v>
      </c>
      <c r="AG2" s="58">
        <v>0.64583333333333337</v>
      </c>
      <c r="AH2" s="58">
        <v>0.66666666666666663</v>
      </c>
      <c r="AI2" s="62">
        <v>0.6875</v>
      </c>
      <c r="AJ2" s="58">
        <v>0.70833333333333337</v>
      </c>
      <c r="AK2" s="58">
        <v>0.72916666666666663</v>
      </c>
      <c r="AL2" s="58">
        <v>0.75</v>
      </c>
      <c r="AM2" s="58">
        <v>0.77083333333333337</v>
      </c>
      <c r="AN2" s="58">
        <v>0.79166666666666663</v>
      </c>
      <c r="AO2" s="58">
        <v>0.8125</v>
      </c>
      <c r="AP2" s="58">
        <v>0.83333333333333337</v>
      </c>
      <c r="AQ2" s="58">
        <v>0.85416666666666663</v>
      </c>
      <c r="AR2" s="58">
        <v>0.875</v>
      </c>
      <c r="AS2" s="58">
        <v>0.89583333333333337</v>
      </c>
      <c r="AT2" s="58">
        <v>0.91666666666666663</v>
      </c>
      <c r="AU2" s="58">
        <v>0.9375</v>
      </c>
      <c r="AV2" s="58">
        <v>0.95833333333333337</v>
      </c>
      <c r="AW2" s="58">
        <v>0.97916666666666663</v>
      </c>
      <c r="AX2" s="63">
        <v>1</v>
      </c>
    </row>
    <row r="3" spans="1:50" x14ac:dyDescent="0.15">
      <c r="A3" t="s">
        <v>122</v>
      </c>
      <c r="B3" s="64" t="s">
        <v>123</v>
      </c>
      <c r="C3" s="65">
        <f>'（日負荷曲線用元データ）'!B33</f>
        <v>58</v>
      </c>
      <c r="D3" s="65">
        <f>'（日負荷曲線用元データ）'!C33</f>
        <v>42</v>
      </c>
      <c r="E3" s="65">
        <f>'（日負荷曲線用元データ）'!D33</f>
        <v>41</v>
      </c>
      <c r="F3" s="65">
        <f>'（日負荷曲線用元データ）'!E33</f>
        <v>39</v>
      </c>
      <c r="G3" s="65">
        <f>'（日負荷曲線用元データ）'!F33</f>
        <v>39</v>
      </c>
      <c r="H3" s="65">
        <f>'（日負荷曲線用元データ）'!G33</f>
        <v>42</v>
      </c>
      <c r="I3" s="65">
        <f>'（日負荷曲線用元データ）'!H33</f>
        <v>41</v>
      </c>
      <c r="J3" s="65">
        <f>'（日負荷曲線用元データ）'!I33</f>
        <v>39</v>
      </c>
      <c r="K3" s="65">
        <f>'（日負荷曲線用元データ）'!J33</f>
        <v>37</v>
      </c>
      <c r="L3" s="65">
        <f>'（日負荷曲線用元データ）'!K33</f>
        <v>38</v>
      </c>
      <c r="M3" s="65">
        <f>'（日負荷曲線用元データ）'!L33</f>
        <v>40</v>
      </c>
      <c r="N3" s="65">
        <f>'（日負荷曲線用元データ）'!M33</f>
        <v>51</v>
      </c>
      <c r="O3" s="65">
        <f>'（日負荷曲線用元データ）'!N33</f>
        <v>98</v>
      </c>
      <c r="P3" s="65">
        <f>'（日負荷曲線用元データ）'!O33</f>
        <v>104</v>
      </c>
      <c r="Q3" s="65">
        <f>'（日負荷曲線用元データ）'!P33</f>
        <v>105</v>
      </c>
      <c r="R3" s="65">
        <f>'（日負荷曲線用元データ）'!Q33</f>
        <v>111</v>
      </c>
      <c r="S3" s="65">
        <f>'（日負荷曲線用元データ）'!R33</f>
        <v>115</v>
      </c>
      <c r="T3" s="65">
        <f>'（日負荷曲線用元データ）'!S33</f>
        <v>123</v>
      </c>
      <c r="U3" s="65">
        <f>'（日負荷曲線用元データ）'!T33</f>
        <v>127</v>
      </c>
      <c r="V3" s="65">
        <f>'（日負荷曲線用元データ）'!U33</f>
        <v>132</v>
      </c>
      <c r="W3" s="65">
        <f>'（日負荷曲線用元データ）'!V33</f>
        <v>131</v>
      </c>
      <c r="X3" s="65">
        <f>'（日負荷曲線用元データ）'!W33</f>
        <v>124</v>
      </c>
      <c r="Y3" s="65">
        <f>'（日負荷曲線用元データ）'!X33</f>
        <v>127</v>
      </c>
      <c r="Z3" s="65">
        <f>'（日負荷曲線用元データ）'!Y33</f>
        <v>131</v>
      </c>
      <c r="AA3" s="65">
        <f>'（日負荷曲線用元データ）'!Z33</f>
        <v>121</v>
      </c>
      <c r="AB3" s="65">
        <f>'（日負荷曲線用元データ）'!AA33</f>
        <v>132</v>
      </c>
      <c r="AC3" s="65">
        <f>'（日負荷曲線用元データ）'!AB33</f>
        <v>128</v>
      </c>
      <c r="AD3" s="65">
        <f>'（日負荷曲線用元データ）'!AC33</f>
        <v>123</v>
      </c>
      <c r="AE3" s="65">
        <f>'（日負荷曲線用元データ）'!AD33</f>
        <v>115.51724137931035</v>
      </c>
      <c r="AF3" s="65">
        <f>'（日負荷曲線用元データ）'!AE33</f>
        <v>125.48275862068965</v>
      </c>
      <c r="AG3" s="65">
        <f>'（日負荷曲線用元データ）'!AF33</f>
        <v>120.44827586206897</v>
      </c>
      <c r="AH3" s="65">
        <f>'（日負荷曲線用元データ）'!AG33</f>
        <v>118.93103448275862</v>
      </c>
      <c r="AI3" s="65">
        <f>'（日負荷曲線用元データ）'!AH33</f>
        <v>116.03448275862068</v>
      </c>
      <c r="AJ3" s="65">
        <f>'（日負荷曲線用元データ）'!AI33</f>
        <v>115.27586206896552</v>
      </c>
      <c r="AK3" s="65">
        <f>'（日負荷曲線用元データ）'!AJ33</f>
        <v>112.68965517241379</v>
      </c>
      <c r="AL3" s="65">
        <f>'（日負荷曲線用元データ）'!AK33</f>
        <v>111.41379310344827</v>
      </c>
      <c r="AM3" s="65">
        <f>'（日負荷曲線用元データ）'!AL33</f>
        <v>106.41379310344827</v>
      </c>
      <c r="AN3" s="65">
        <f>'（日負荷曲線用元データ）'!AM33</f>
        <v>112.86206896551724</v>
      </c>
      <c r="AO3" s="65">
        <f>'（日負荷曲線用元データ）'!AN33</f>
        <v>109.20689655172414</v>
      </c>
      <c r="AP3" s="65">
        <f>'（日負荷曲線用元データ）'!AO33</f>
        <v>109.82758620689656</v>
      </c>
      <c r="AQ3" s="65">
        <f>'（日負荷曲線用元データ）'!AP33</f>
        <v>106.03448275862068</v>
      </c>
      <c r="AR3" s="65">
        <f>'（日負荷曲線用元データ）'!AQ33</f>
        <v>112.58620689655173</v>
      </c>
      <c r="AS3" s="65">
        <f>'（日負荷曲線用元データ）'!AR33</f>
        <v>108.96551724137932</v>
      </c>
      <c r="AT3" s="65">
        <f>'（日負荷曲線用元データ）'!AS33</f>
        <v>105.03448275862068</v>
      </c>
      <c r="AU3" s="65">
        <f>'（日負荷曲線用元データ）'!AT33</f>
        <v>101.27586206896552</v>
      </c>
      <c r="AV3" s="65">
        <f>'（日負荷曲線用元データ）'!AU33</f>
        <v>99.41379310344827</v>
      </c>
      <c r="AW3" s="65">
        <f>'（日負荷曲線用元データ）'!AV33</f>
        <v>97.241379310344826</v>
      </c>
      <c r="AX3" s="65">
        <f>'（日負荷曲線用元データ）'!AW33</f>
        <v>92.068965517241381</v>
      </c>
    </row>
    <row r="4" spans="1:50" x14ac:dyDescent="0.15">
      <c r="A4" t="s">
        <v>122</v>
      </c>
      <c r="B4" s="64" t="s">
        <v>124</v>
      </c>
      <c r="C4" s="66">
        <f>'（日負荷曲線用元データ）'!B66</f>
        <v>56.5</v>
      </c>
      <c r="D4" s="66">
        <f>'（日負荷曲線用元データ）'!C66</f>
        <v>41.071428571428569</v>
      </c>
      <c r="E4" s="66">
        <f>'（日負荷曲線用元データ）'!D66</f>
        <v>39.035714285714285</v>
      </c>
      <c r="F4" s="66">
        <f>'（日負荷曲線用元データ）'!E66</f>
        <v>35.214285714285715</v>
      </c>
      <c r="G4" s="66">
        <f>'（日負荷曲線用元データ）'!F66</f>
        <v>36.071428571428569</v>
      </c>
      <c r="H4" s="66">
        <f>'（日負荷曲線用元データ）'!G66</f>
        <v>39</v>
      </c>
      <c r="I4" s="66">
        <f>'（日負荷曲線用元データ）'!H66</f>
        <v>38.607142857142854</v>
      </c>
      <c r="J4" s="66">
        <f>'（日負荷曲線用元データ）'!I66</f>
        <v>36.535714285714285</v>
      </c>
      <c r="K4" s="66">
        <f>'（日負荷曲線用元データ）'!J66</f>
        <v>34.785714285714285</v>
      </c>
      <c r="L4" s="66">
        <f>'（日負荷曲線用元データ）'!K66</f>
        <v>35.214285714285715</v>
      </c>
      <c r="M4" s="66">
        <f>'（日負荷曲線用元データ）'!L66</f>
        <v>39.607142857142854</v>
      </c>
      <c r="N4" s="66">
        <f>'（日負荷曲線用元データ）'!M66</f>
        <v>52.821428571428569</v>
      </c>
      <c r="O4" s="66">
        <f>'（日負荷曲線用元データ）'!N66</f>
        <v>95.714285714285708</v>
      </c>
      <c r="P4" s="66">
        <f>'（日負荷曲線用元データ）'!O66</f>
        <v>91.285714285714292</v>
      </c>
      <c r="Q4" s="66">
        <f>'（日負荷曲線用元データ）'!P66</f>
        <v>102.14285714285714</v>
      </c>
      <c r="R4" s="66">
        <f>'（日負荷曲線用元データ）'!Q66</f>
        <v>109.32142857142857</v>
      </c>
      <c r="S4" s="66">
        <f>'（日負荷曲線用元データ）'!R66</f>
        <v>109.53571428571429</v>
      </c>
      <c r="T4" s="66">
        <f>'（日負荷曲線用元データ）'!S66</f>
        <v>120.14285714285714</v>
      </c>
      <c r="U4" s="66">
        <f>'（日負荷曲線用元データ）'!T66</f>
        <v>124.17857142857143</v>
      </c>
      <c r="V4" s="66">
        <f>'（日負荷曲線用元データ）'!U66</f>
        <v>120.14285714285714</v>
      </c>
      <c r="W4" s="66">
        <f>'（日負荷曲線用元データ）'!V66</f>
        <v>117.35714285714286</v>
      </c>
      <c r="X4" s="66">
        <f>'（日負荷曲線用元データ）'!W66</f>
        <v>117.64285714285714</v>
      </c>
      <c r="Y4" s="66">
        <f>'（日負荷曲線用元データ）'!X66</f>
        <v>118.96428571428571</v>
      </c>
      <c r="Z4" s="66">
        <f>'（日負荷曲線用元データ）'!Y66</f>
        <v>120.35714285714286</v>
      </c>
      <c r="AA4" s="66">
        <f>'（日負荷曲線用元データ）'!Z66</f>
        <v>120.78571428571429</v>
      </c>
      <c r="AB4" s="66">
        <f>'（日負荷曲線用元データ）'!AA66</f>
        <v>123.39285714285714</v>
      </c>
      <c r="AC4" s="66">
        <f>'（日負荷曲線用元データ）'!AB66</f>
        <v>119.46428571428571</v>
      </c>
      <c r="AD4" s="66">
        <f>'（日負荷曲線用元データ）'!AC66</f>
        <v>120.25</v>
      </c>
      <c r="AE4" s="66">
        <f>'（日負荷曲線用元データ）'!AD66</f>
        <v>115.38709677419355</v>
      </c>
      <c r="AF4" s="66">
        <f>'（日負荷曲線用元データ）'!AE66</f>
        <v>123.19354838709677</v>
      </c>
      <c r="AG4" s="66">
        <f>'（日負荷曲線用元データ）'!AF66</f>
        <v>118.48387096774194</v>
      </c>
      <c r="AH4" s="66">
        <f>'（日負荷曲線用元データ）'!AG66</f>
        <v>116.64516129032258</v>
      </c>
      <c r="AI4" s="66">
        <f>'（日負荷曲線用元データ）'!AH66</f>
        <v>113.19354838709677</v>
      </c>
      <c r="AJ4" s="66">
        <f>'（日負荷曲線用元データ）'!AI66</f>
        <v>111.03225806451613</v>
      </c>
      <c r="AK4" s="66">
        <f>'（日負荷曲線用元データ）'!AJ66</f>
        <v>109.45161290322581</v>
      </c>
      <c r="AL4" s="66">
        <f>'（日負荷曲線用元データ）'!AK66</f>
        <v>108.19354838709677</v>
      </c>
      <c r="AM4" s="66">
        <f>'（日負荷曲線用元データ）'!AL66</f>
        <v>106.64516129032258</v>
      </c>
      <c r="AN4" s="66">
        <f>'（日負荷曲線用元データ）'!AM66</f>
        <v>111.2258064516129</v>
      </c>
      <c r="AO4" s="66">
        <f>'（日負荷曲線用元データ）'!AN66</f>
        <v>107.74193548387096</v>
      </c>
      <c r="AP4" s="66">
        <f>'（日負荷曲線用元データ）'!AO66</f>
        <v>106.83870967741936</v>
      </c>
      <c r="AQ4" s="66">
        <f>'（日負荷曲線用元データ）'!AP66</f>
        <v>102.54838709677419</v>
      </c>
      <c r="AR4" s="66">
        <f>'（日負荷曲線用元データ）'!AQ66</f>
        <v>105.48387096774194</v>
      </c>
      <c r="AS4" s="66">
        <f>'（日負荷曲線用元データ）'!AR66</f>
        <v>101.12903225806451</v>
      </c>
      <c r="AT4" s="66">
        <f>'（日負荷曲線用元データ）'!AS66</f>
        <v>95.225806451612897</v>
      </c>
      <c r="AU4" s="66">
        <f>'（日負荷曲線用元データ）'!AT66</f>
        <v>91.096774193548384</v>
      </c>
      <c r="AV4" s="66">
        <f>'（日負荷曲線用元データ）'!AU66</f>
        <v>90.483870967741936</v>
      </c>
      <c r="AW4" s="66">
        <f>'（日負荷曲線用元データ）'!AV66</f>
        <v>89.290322580645167</v>
      </c>
      <c r="AX4" s="66">
        <f>'（日負荷曲線用元データ）'!AW66</f>
        <v>84.548387096774192</v>
      </c>
    </row>
    <row r="5" spans="1:50" x14ac:dyDescent="0.15">
      <c r="A5" t="s">
        <v>122</v>
      </c>
      <c r="B5" s="64" t="s">
        <v>125</v>
      </c>
      <c r="C5" s="66">
        <f>'（日負荷曲線用元データ）'!B99</f>
        <v>54.193548387096776</v>
      </c>
      <c r="D5" s="66">
        <f>'（日負荷曲線用元データ）'!C99</f>
        <v>40.612903225806448</v>
      </c>
      <c r="E5" s="66">
        <f>'（日負荷曲線用元データ）'!D99</f>
        <v>38.548387096774192</v>
      </c>
      <c r="F5" s="66">
        <f>'（日負荷曲線用元データ）'!E99</f>
        <v>34.87096774193548</v>
      </c>
      <c r="G5" s="66">
        <f>'（日負荷曲線用元データ）'!F99</f>
        <v>36.225806451612904</v>
      </c>
      <c r="H5" s="66">
        <f>'（日負荷曲線用元データ）'!G99</f>
        <v>38.387096774193552</v>
      </c>
      <c r="I5" s="66">
        <f>'（日負荷曲線用元データ）'!H99</f>
        <v>36.838709677419352</v>
      </c>
      <c r="J5" s="66">
        <f>'（日負荷曲線用元データ）'!I99</f>
        <v>35.354838709677416</v>
      </c>
      <c r="K5" s="66">
        <f>'（日負荷曲線用元データ）'!J99</f>
        <v>32.935483870967744</v>
      </c>
      <c r="L5" s="66">
        <f>'（日負荷曲線用元データ）'!K99</f>
        <v>33.387096774193552</v>
      </c>
      <c r="M5" s="66">
        <f>'（日負荷曲線用元データ）'!L99</f>
        <v>38.645161290322584</v>
      </c>
      <c r="N5" s="66">
        <f>'（日負荷曲線用元データ）'!M99</f>
        <v>54.29032258064516</v>
      </c>
      <c r="O5" s="66">
        <f>'（日負荷曲線用元データ）'!N99</f>
        <v>90.741935483870961</v>
      </c>
      <c r="P5" s="66">
        <f>'（日負荷曲線用元データ）'!O99</f>
        <v>86.967741935483872</v>
      </c>
      <c r="Q5" s="66">
        <f>'（日負荷曲線用元データ）'!P99</f>
        <v>99.096774193548384</v>
      </c>
      <c r="R5" s="66">
        <f>'（日負荷曲線用元データ）'!Q99</f>
        <v>105.74193548387096</v>
      </c>
      <c r="S5" s="66">
        <f>'（日負荷曲線用元データ）'!R99</f>
        <v>106.3225806451613</v>
      </c>
      <c r="T5" s="66">
        <f>'（日負荷曲線用元データ）'!S99</f>
        <v>114.3225806451613</v>
      </c>
      <c r="U5" s="66">
        <f>'（日負荷曲線用元データ）'!T99</f>
        <v>119.58064516129032</v>
      </c>
      <c r="V5" s="66">
        <f>'（日負荷曲線用元データ）'!U99</f>
        <v>116.09677419354838</v>
      </c>
      <c r="W5" s="66">
        <f>'（日負荷曲線用元データ）'!V99</f>
        <v>112.61290322580645</v>
      </c>
      <c r="X5" s="66">
        <f>'（日負荷曲線用元データ）'!W99</f>
        <v>112.96774193548387</v>
      </c>
      <c r="Y5" s="66">
        <f>'（日負荷曲線用元データ）'!X99</f>
        <v>113.29032258064517</v>
      </c>
      <c r="Z5" s="66">
        <f>'（日負荷曲線用元データ）'!Y99</f>
        <v>114.25806451612904</v>
      </c>
      <c r="AA5" s="66">
        <f>'（日負荷曲線用元データ）'!Z99</f>
        <v>117.19354838709677</v>
      </c>
      <c r="AB5" s="66">
        <f>'（日負荷曲線用元データ）'!AA99</f>
        <v>118</v>
      </c>
      <c r="AC5" s="66">
        <f>'（日負荷曲線用元データ）'!AB99</f>
        <v>114</v>
      </c>
      <c r="AD5" s="66">
        <f>'（日負荷曲線用元データ）'!AC99</f>
        <v>114.58064516129032</v>
      </c>
      <c r="AE5" s="66">
        <f>'（日負荷曲線用元データ）'!AD99</f>
        <v>110.90322580645162</v>
      </c>
      <c r="AF5" s="66">
        <f>'（日負荷曲線用元データ）'!AE99</f>
        <v>116</v>
      </c>
      <c r="AG5" s="66">
        <f>'（日負荷曲線用元データ）'!AF99</f>
        <v>110.6774193548387</v>
      </c>
      <c r="AH5" s="66">
        <f>'（日負荷曲線用元データ）'!AG99</f>
        <v>107.87096774193549</v>
      </c>
      <c r="AI5" s="66">
        <f>'（日負荷曲線用元データ）'!AH99</f>
        <v>105.38709677419355</v>
      </c>
      <c r="AJ5" s="66">
        <f>'（日負荷曲線用元データ）'!AI99</f>
        <v>104.29032258064517</v>
      </c>
      <c r="AK5" s="66">
        <f>'（日負荷曲線用元データ）'!AJ99</f>
        <v>103.38709677419355</v>
      </c>
      <c r="AL5" s="66">
        <f>'（日負荷曲線用元データ）'!AK99</f>
        <v>103.58064516129032</v>
      </c>
      <c r="AM5" s="66">
        <f>'（日負荷曲線用元データ）'!AL99</f>
        <v>103.06451612903226</v>
      </c>
      <c r="AN5" s="66">
        <f>'（日負荷曲線用元データ）'!AM99</f>
        <v>106.12903225806451</v>
      </c>
      <c r="AO5" s="66">
        <f>'（日負荷曲線用元データ）'!AN99</f>
        <v>101.6774193548387</v>
      </c>
      <c r="AP5" s="66">
        <f>'（日負荷曲線用元データ）'!AO99</f>
        <v>100.35483870967742</v>
      </c>
      <c r="AQ5" s="66">
        <f>'（日負荷曲線用元データ）'!AP99</f>
        <v>96.258064516129039</v>
      </c>
      <c r="AR5" s="66">
        <f>'（日負荷曲線用元データ）'!AQ99</f>
        <v>97.032258064516128</v>
      </c>
      <c r="AS5" s="66">
        <f>'（日負荷曲線用元データ）'!AR99</f>
        <v>91.870967741935488</v>
      </c>
      <c r="AT5" s="66">
        <f>'（日負荷曲線用元データ）'!AS99</f>
        <v>86.451612903225808</v>
      </c>
      <c r="AU5" s="66">
        <f>'（日負荷曲線用元データ）'!AT99</f>
        <v>82.258064516129039</v>
      </c>
      <c r="AV5" s="66">
        <f>'（日負荷曲線用元データ）'!AU99</f>
        <v>81.903225806451616</v>
      </c>
      <c r="AW5" s="66">
        <f>'（日負荷曲線用元データ）'!AV99</f>
        <v>80.258064516129039</v>
      </c>
      <c r="AX5" s="66">
        <f>'（日負荷曲線用元データ）'!AW99</f>
        <v>78.870967741935488</v>
      </c>
    </row>
    <row r="6" spans="1:50" x14ac:dyDescent="0.15">
      <c r="A6" t="s">
        <v>122</v>
      </c>
      <c r="B6" s="64" t="s">
        <v>126</v>
      </c>
      <c r="C6" s="66">
        <f>'（日負荷曲線用元データ）'!B130</f>
        <v>53.75</v>
      </c>
      <c r="D6" s="66">
        <f>'（日負荷曲線用元データ）'!C130</f>
        <v>38.5</v>
      </c>
      <c r="E6" s="66">
        <f>'（日負荷曲線用元データ）'!D130</f>
        <v>36.607142857142854</v>
      </c>
      <c r="F6" s="66">
        <f>'（日負荷曲線用元データ）'!E130</f>
        <v>32.678571428571431</v>
      </c>
      <c r="G6" s="66">
        <f>'（日負荷曲線用元データ）'!F130</f>
        <v>33.642857142857146</v>
      </c>
      <c r="H6" s="66">
        <f>'（日負荷曲線用元データ）'!G130</f>
        <v>36.107142857142854</v>
      </c>
      <c r="I6" s="66">
        <f>'（日負荷曲線用元データ）'!H130</f>
        <v>34.928571428571431</v>
      </c>
      <c r="J6" s="66">
        <f>'（日負荷曲線用元データ）'!I130</f>
        <v>32.75</v>
      </c>
      <c r="K6" s="66">
        <f>'（日負荷曲線用元データ）'!J130</f>
        <v>30.107142857142858</v>
      </c>
      <c r="L6" s="66">
        <f>'（日負荷曲線用元データ）'!K130</f>
        <v>30.857142857142858</v>
      </c>
      <c r="M6" s="66">
        <f>'（日負荷曲線用元データ）'!L130</f>
        <v>33.5</v>
      </c>
      <c r="N6" s="66">
        <f>'（日負荷曲線用元データ）'!M130</f>
        <v>52.428571428571431</v>
      </c>
      <c r="O6" s="66">
        <f>'（日負荷曲線用元データ）'!N130</f>
        <v>88.75</v>
      </c>
      <c r="P6" s="66">
        <f>'（日負荷曲線用元データ）'!O130</f>
        <v>88.964285714285708</v>
      </c>
      <c r="Q6" s="66">
        <f>'（日負荷曲線用元データ）'!P130</f>
        <v>99.107142857142861</v>
      </c>
      <c r="R6" s="66">
        <f>'（日負荷曲線用元データ）'!Q130</f>
        <v>105.39285714285714</v>
      </c>
      <c r="S6" s="66">
        <f>'（日負荷曲線用元データ）'!R130</f>
        <v>105.60714285714286</v>
      </c>
      <c r="T6" s="66">
        <f>'（日負荷曲線用元データ）'!S130</f>
        <v>116.21428571428571</v>
      </c>
      <c r="U6" s="66">
        <f>'（日負荷曲線用元データ）'!T130</f>
        <v>123.53571428571429</v>
      </c>
      <c r="V6" s="66">
        <f>'（日負荷曲線用元データ）'!U130</f>
        <v>118.82142857142857</v>
      </c>
      <c r="W6" s="66">
        <f>'（日負荷曲線用元データ）'!V130</f>
        <v>115.5</v>
      </c>
      <c r="X6" s="66">
        <f>'（日負荷曲線用元データ）'!W130</f>
        <v>114.92857142857143</v>
      </c>
      <c r="Y6" s="66">
        <f>'（日負荷曲線用元データ）'!X130</f>
        <v>115.07142857142857</v>
      </c>
      <c r="Z6" s="66">
        <f>'（日負荷曲線用元データ）'!Y130</f>
        <v>115.17857142857143</v>
      </c>
      <c r="AA6" s="66">
        <f>'（日負荷曲線用元データ）'!Z130</f>
        <v>117.35714285714286</v>
      </c>
      <c r="AB6" s="66">
        <f>'（日負荷曲線用元データ）'!AA130</f>
        <v>118.67857142857143</v>
      </c>
      <c r="AC6" s="66">
        <f>'（日負荷曲線用元データ）'!AB130</f>
        <v>115.67857142857143</v>
      </c>
      <c r="AD6" s="66">
        <f>'（日負荷曲線用元データ）'!AC130</f>
        <v>114.89285714285714</v>
      </c>
      <c r="AE6" s="66">
        <f>'（日負荷曲線用元データ）'!AD130</f>
        <v>111.25</v>
      </c>
      <c r="AF6" s="66">
        <f>'（日負荷曲線用元データ）'!AE130</f>
        <v>118.28571428571429</v>
      </c>
      <c r="AG6" s="66">
        <f>'（日負荷曲線用元データ）'!AF130</f>
        <v>113.14285714285714</v>
      </c>
      <c r="AH6" s="66">
        <f>'（日負荷曲線用元データ）'!AG130</f>
        <v>110.64285714285714</v>
      </c>
      <c r="AI6" s="66">
        <f>'（日負荷曲線用元データ）'!AH130</f>
        <v>105.67857142857143</v>
      </c>
      <c r="AJ6" s="66">
        <f>'（日負荷曲線用元データ）'!AI130</f>
        <v>105.03571428571429</v>
      </c>
      <c r="AK6" s="66">
        <f>'（日負荷曲線用元データ）'!AJ130</f>
        <v>105.64285714285714</v>
      </c>
      <c r="AL6" s="66">
        <f>'（日負荷曲線用元データ）'!AK130</f>
        <v>106.5</v>
      </c>
      <c r="AM6" s="66">
        <f>'（日負荷曲線用元データ）'!AL130</f>
        <v>105.35714285714286</v>
      </c>
      <c r="AN6" s="66">
        <f>'（日負荷曲線用元データ）'!AM130</f>
        <v>109.21428571428571</v>
      </c>
      <c r="AO6" s="66">
        <f>'（日負荷曲線用元データ）'!AN130</f>
        <v>103.96428571428571</v>
      </c>
      <c r="AP6" s="66">
        <f>'（日負荷曲線用元データ）'!AO130</f>
        <v>103.67857142857143</v>
      </c>
      <c r="AQ6" s="66">
        <f>'（日負荷曲線用元データ）'!AP130</f>
        <v>99.107142857142861</v>
      </c>
      <c r="AR6" s="66">
        <f>'（日負荷曲線用元データ）'!AQ130</f>
        <v>101.89285714285714</v>
      </c>
      <c r="AS6" s="66">
        <f>'（日負荷曲線用元データ）'!AR130</f>
        <v>97.25</v>
      </c>
      <c r="AT6" s="66">
        <f>'（日負荷曲線用元データ）'!AS130</f>
        <v>92.464285714285708</v>
      </c>
      <c r="AU6" s="66">
        <f>'（日負荷曲線用元データ）'!AT130</f>
        <v>88</v>
      </c>
      <c r="AV6" s="66">
        <f>'（日負荷曲線用元データ）'!AU130</f>
        <v>87.321428571428569</v>
      </c>
      <c r="AW6" s="66">
        <f>'（日負荷曲線用元データ）'!AV130</f>
        <v>86.035714285714292</v>
      </c>
      <c r="AX6" s="66">
        <f>'（日負荷曲線用元データ）'!AW130</f>
        <v>83.928571428571431</v>
      </c>
    </row>
    <row r="7" spans="1:50" x14ac:dyDescent="0.15">
      <c r="A7" t="s">
        <v>122</v>
      </c>
      <c r="B7" s="64" t="s">
        <v>127</v>
      </c>
      <c r="C7" s="66">
        <f>'（日負荷曲線用元データ）'!B163</f>
        <v>58.354838709677416</v>
      </c>
      <c r="D7" s="66">
        <f>'（日負荷曲線用元データ）'!C163</f>
        <v>40.741935483870968</v>
      </c>
      <c r="E7" s="66">
        <f>'（日負荷曲線用元データ）'!D163</f>
        <v>39.612903225806448</v>
      </c>
      <c r="F7" s="66">
        <f>'（日負荷曲線用元データ）'!E163</f>
        <v>36.29032258064516</v>
      </c>
      <c r="G7" s="66">
        <f>'（日負荷曲線用元データ）'!F163</f>
        <v>37.29032258064516</v>
      </c>
      <c r="H7" s="66">
        <f>'（日負荷曲線用元データ）'!G163</f>
        <v>40.258064516129032</v>
      </c>
      <c r="I7" s="66">
        <f>'（日負荷曲線用元データ）'!H163</f>
        <v>38.838709677419352</v>
      </c>
      <c r="J7" s="66">
        <f>'（日負荷曲線用元データ）'!I163</f>
        <v>36.677419354838712</v>
      </c>
      <c r="K7" s="66">
        <f>'（日負荷曲線用元データ）'!J163</f>
        <v>34.193548387096776</v>
      </c>
      <c r="L7" s="66">
        <f>'（日負荷曲線用元データ）'!K163</f>
        <v>34.483870967741936</v>
      </c>
      <c r="M7" s="66">
        <f>'（日負荷曲線用元データ）'!L163</f>
        <v>39.806451612903224</v>
      </c>
      <c r="N7" s="66">
        <f>'（日負荷曲線用元データ）'!M163</f>
        <v>50.967741935483872</v>
      </c>
      <c r="O7" s="66">
        <f>'（日負荷曲線用元データ）'!N163</f>
        <v>98.096774193548384</v>
      </c>
      <c r="P7" s="66">
        <f>'（日負荷曲線用元データ）'!O163</f>
        <v>88.354838709677423</v>
      </c>
      <c r="Q7" s="66">
        <f>'（日負荷曲線用元データ）'!P163</f>
        <v>104.45161290322581</v>
      </c>
      <c r="R7" s="66">
        <f>'（日負荷曲線用元データ）'!Q163</f>
        <v>108.51612903225806</v>
      </c>
      <c r="S7" s="66">
        <f>'（日負荷曲線用元データ）'!R163</f>
        <v>109.74193548387096</v>
      </c>
      <c r="T7" s="66">
        <f>'（日負荷曲線用元データ）'!S163</f>
        <v>118.3225806451613</v>
      </c>
      <c r="U7" s="66">
        <f>'（日負荷曲線用元データ）'!T163</f>
        <v>124.09677419354838</v>
      </c>
      <c r="V7" s="66">
        <f>'（日負荷曲線用元データ）'!U163</f>
        <v>118.83870967741936</v>
      </c>
      <c r="W7" s="66">
        <f>'（日負荷曲線用元データ）'!V163</f>
        <v>116.58064516129032</v>
      </c>
      <c r="X7" s="66">
        <f>'（日負荷曲線用元データ）'!W163</f>
        <v>117.03225806451613</v>
      </c>
      <c r="Y7" s="66">
        <f>'（日負荷曲線用元データ）'!X163</f>
        <v>116.64516129032258</v>
      </c>
      <c r="Z7" s="66">
        <f>'（日負荷曲線用元データ）'!Y163</f>
        <v>117.03225806451613</v>
      </c>
      <c r="AA7" s="66">
        <f>'（日負荷曲線用元データ）'!Z163</f>
        <v>117.54838709677419</v>
      </c>
      <c r="AB7" s="66">
        <f>'（日負荷曲線用元データ）'!AA163</f>
        <v>120.61290322580645</v>
      </c>
      <c r="AC7" s="66">
        <f>'（日負荷曲線用元データ）'!AB163</f>
        <v>117.06451612903226</v>
      </c>
      <c r="AD7" s="66">
        <f>'（日負荷曲線用元データ）'!AC163</f>
        <v>116.7741935483871</v>
      </c>
      <c r="AE7" s="66">
        <f>'（日負荷曲線用元データ）'!AD163</f>
        <v>112.25806451612904</v>
      </c>
      <c r="AF7" s="66">
        <f>'（日負荷曲線用元データ）'!AE163</f>
        <v>121.45161290322581</v>
      </c>
      <c r="AG7" s="66">
        <f>'（日負荷曲線用元データ）'!AF163</f>
        <v>116.35483870967742</v>
      </c>
      <c r="AH7" s="66">
        <f>'（日負荷曲線用元データ）'!AG163</f>
        <v>112.41935483870968</v>
      </c>
      <c r="AI7" s="66">
        <f>'（日負荷曲線用元データ）'!AH163</f>
        <v>109</v>
      </c>
      <c r="AJ7" s="66">
        <f>'（日負荷曲線用元データ）'!AI163</f>
        <v>106.90322580645162</v>
      </c>
      <c r="AK7" s="66">
        <f>'（日負荷曲線用元データ）'!AJ163</f>
        <v>106.2258064516129</v>
      </c>
      <c r="AL7" s="66">
        <f>'（日負荷曲線用元データ）'!AK163</f>
        <v>106.80645161290323</v>
      </c>
      <c r="AM7" s="66">
        <f>'（日負荷曲線用元データ）'!AL163</f>
        <v>102.38709677419355</v>
      </c>
      <c r="AN7" s="66">
        <f>'（日負荷曲線用元データ）'!AM163</f>
        <v>107.06451612903226</v>
      </c>
      <c r="AO7" s="66">
        <f>'（日負荷曲線用元データ）'!AN163</f>
        <v>104.19354838709677</v>
      </c>
      <c r="AP7" s="66">
        <f>'（日負荷曲線用元データ）'!AO163</f>
        <v>104.70967741935483</v>
      </c>
      <c r="AQ7" s="66">
        <f>'（日負荷曲線用元データ）'!AP163</f>
        <v>99.354838709677423</v>
      </c>
      <c r="AR7" s="66">
        <f>'（日負荷曲線用元データ）'!AQ163</f>
        <v>103.74193548387096</v>
      </c>
      <c r="AS7" s="66">
        <f>'（日負荷曲線用元データ）'!AR163</f>
        <v>99.709677419354833</v>
      </c>
      <c r="AT7" s="66">
        <f>'（日負荷曲線用元データ）'!AS163</f>
        <v>95.483870967741936</v>
      </c>
      <c r="AU7" s="66">
        <f>'（日負荷曲線用元データ）'!AT163</f>
        <v>91.935483870967744</v>
      </c>
      <c r="AV7" s="66">
        <f>'（日負荷曲線用元データ）'!AU163</f>
        <v>90.322580645161295</v>
      </c>
      <c r="AW7" s="66">
        <f>'（日負荷曲線用元データ）'!AV163</f>
        <v>88.58064516129032</v>
      </c>
      <c r="AX7" s="66">
        <f>'（日負荷曲線用元データ）'!AW163</f>
        <v>86.58064516129032</v>
      </c>
    </row>
    <row r="8" spans="1:50" x14ac:dyDescent="0.15">
      <c r="B8" s="67" t="s">
        <v>121</v>
      </c>
      <c r="C8" s="68">
        <f>AVERAGE(C3:D7)</f>
        <v>48.372465437788023</v>
      </c>
      <c r="D8" s="68"/>
      <c r="E8" s="69">
        <f>AVERAGE(E3:F7)</f>
        <v>37.285829493087562</v>
      </c>
      <c r="F8" s="69"/>
      <c r="G8" s="69">
        <f>AVERAGE(G3:H7)</f>
        <v>37.798271889400922</v>
      </c>
      <c r="H8" s="69"/>
      <c r="I8" s="69">
        <f>AVERAGE(I3:J7)</f>
        <v>37.053110599078337</v>
      </c>
      <c r="J8" s="69"/>
      <c r="K8" s="69">
        <f>AVERAGE(K3:L7)</f>
        <v>34.096428571428575</v>
      </c>
      <c r="L8" s="69"/>
      <c r="M8" s="69">
        <f>AVERAGE(M3:N7)</f>
        <v>45.306682027649778</v>
      </c>
      <c r="N8" s="69"/>
      <c r="O8" s="69">
        <f>AVERAGE(O3:P7)</f>
        <v>93.087557603686633</v>
      </c>
      <c r="P8" s="69"/>
      <c r="Q8" s="69">
        <f>AVERAGE(Q3:R7)</f>
        <v>104.97707373271889</v>
      </c>
      <c r="R8" s="69"/>
      <c r="S8" s="69">
        <f>AVERAGE(S3:T7)</f>
        <v>113.82096774193549</v>
      </c>
      <c r="T8" s="69"/>
      <c r="U8" s="69">
        <f>AVERAGE(U3:V7)</f>
        <v>122.42914746543779</v>
      </c>
      <c r="V8" s="69"/>
      <c r="W8" s="69">
        <f>AVERAGE(W3:X7)</f>
        <v>117.96221198156681</v>
      </c>
      <c r="X8" s="69"/>
      <c r="Y8" s="69">
        <f>AVERAGE(Y3:Z7)</f>
        <v>118.87972350230413</v>
      </c>
      <c r="Z8" s="69"/>
      <c r="AA8" s="69">
        <f>AVERAGE(AA3:AB7)</f>
        <v>120.6569124423963</v>
      </c>
      <c r="AB8" s="69"/>
      <c r="AC8" s="69">
        <f>AVERAGE(AC3:AD7)</f>
        <v>118.37050691244239</v>
      </c>
      <c r="AD8" s="69"/>
      <c r="AE8" s="69">
        <f>AVERAGE(AE3:AF7)</f>
        <v>116.97292626728112</v>
      </c>
      <c r="AF8" s="69"/>
      <c r="AG8" s="69">
        <f>AVERAGE(AG3:AH7)</f>
        <v>114.56166375337675</v>
      </c>
      <c r="AH8" s="69"/>
      <c r="AI8" s="69">
        <f>AVERAGE(AI3:AJ7)</f>
        <v>109.18310821547752</v>
      </c>
      <c r="AJ8" s="69"/>
      <c r="AK8" s="69">
        <f>AVERAGE(AK3:AL7)</f>
        <v>107.38914667090418</v>
      </c>
      <c r="AL8" s="69"/>
      <c r="AM8" s="69">
        <f>AVERAGE(AM3:AN7)</f>
        <v>107.0363419672652</v>
      </c>
      <c r="AN8" s="69"/>
      <c r="AO8" s="69">
        <f>AVERAGE(AO3:AP7)</f>
        <v>105.21934689337358</v>
      </c>
      <c r="AP8" s="69"/>
      <c r="AQ8" s="69">
        <f>AVERAGE(AQ3:AR7)</f>
        <v>102.40400444938821</v>
      </c>
      <c r="AR8" s="69"/>
      <c r="AS8" s="69">
        <f>AVERAGE(AS3:AT7)</f>
        <v>97.358525345622127</v>
      </c>
      <c r="AT8" s="69"/>
      <c r="AU8" s="69">
        <f>AVERAGE(AU3:AV7)</f>
        <v>90.401108374384222</v>
      </c>
      <c r="AV8" s="69"/>
      <c r="AW8" s="69">
        <f>AVERAGE(AW3:AX7)</f>
        <v>86.740366279993665</v>
      </c>
      <c r="AX8" s="69"/>
    </row>
    <row r="9" spans="1:50" x14ac:dyDescent="0.15">
      <c r="C9" s="173">
        <f>(SUM(C4+D4)+SUM(C5+D5)+SUM(C6+D6)+SUM(C7+D7)+SUM(C3+D3))/5</f>
        <v>96.744930875576031</v>
      </c>
      <c r="D9" s="173"/>
      <c r="E9" s="173">
        <f>(SUM(E4+F4)+SUM(E5+F5)+SUM(E6+F6)+SUM(E7+F7)+SUM(E3+F3))/5</f>
        <v>74.571658986175109</v>
      </c>
      <c r="F9" s="173"/>
      <c r="G9" s="173">
        <f>(SUM(G4+H4)+SUM(G5+H5)+SUM(G6+H6)+SUM(G7+H7)+SUM(G3+H3))/5</f>
        <v>75.596543778801845</v>
      </c>
      <c r="H9" s="173"/>
      <c r="I9" s="173">
        <f>(SUM(I4+J4)+SUM(I5+J5)+SUM(I6+J6)+SUM(I7+J7)+SUM(I3+J3))/5</f>
        <v>74.106221198156675</v>
      </c>
      <c r="J9" s="173"/>
      <c r="K9" s="173">
        <f>(SUM(K4+L4)+SUM(K5+L5)+SUM(K6+L6)+SUM(K7+L7)+SUM(K3+L3))/5</f>
        <v>68.19285714285715</v>
      </c>
      <c r="L9" s="173"/>
      <c r="M9" s="173">
        <f>(SUM(M4+N4)+SUM(M5+N5)+SUM(M6+N6)+SUM(M7+N7)+SUM(M3+N3))/5</f>
        <v>90.613364055299527</v>
      </c>
      <c r="N9" s="173"/>
      <c r="O9" s="173">
        <f>(SUM(O4+P4)+SUM(O5+P5)+SUM(O6+P6)+SUM(O7+P7)+SUM(O3+P3))/5</f>
        <v>186.17511520737327</v>
      </c>
      <c r="P9" s="173"/>
      <c r="Q9" s="173">
        <f>(SUM(Q4+R4)+SUM(Q5+R5)+SUM(Q6+R6)+SUM(Q7+R7)+SUM(Q3+R3))/5</f>
        <v>209.95414746543779</v>
      </c>
      <c r="R9" s="173"/>
      <c r="S9" s="173">
        <f>(SUM(S4+T4)+SUM(S5+T5)+SUM(S6+T6)+SUM(S7+T7)+SUM(S3+T3))/5</f>
        <v>227.64193548387098</v>
      </c>
      <c r="T9" s="173"/>
      <c r="U9" s="173">
        <f>(SUM(U4+V4)+SUM(U5+V5)+SUM(U6+V6)+SUM(U7+V7)+SUM(U3+V3))/5</f>
        <v>244.85829493087559</v>
      </c>
      <c r="V9" s="173"/>
      <c r="W9" s="173">
        <f>(SUM(W4+X4)+SUM(W5+X5)+SUM(W6+X6)+SUM(W7+X7)+SUM(W3+X3))/5</f>
        <v>235.92442396313362</v>
      </c>
      <c r="X9" s="173"/>
      <c r="Y9" s="173">
        <f>(SUM(Y4+Z4)+SUM(Y5+Z5)+SUM(Y6+Z6)+SUM(Y7+Z7)+SUM(Y3+Z3))/5</f>
        <v>237.75944700460832</v>
      </c>
      <c r="Z9" s="173"/>
      <c r="AA9" s="173">
        <f>(SUM(AA4+AB4)+SUM(AA5+AB5)+SUM(AA6+AB6)+SUM(AA7+AB7)+SUM(AA3+AB3))/5</f>
        <v>241.31382488479261</v>
      </c>
      <c r="AB9" s="173"/>
      <c r="AC9" s="173">
        <f>(SUM(AC4+AD4)+SUM(AC5+AD5)+SUM(AC6+AD6)+SUM(AC7+AD7)+SUM(AC3+AD3))/5</f>
        <v>236.74101382488479</v>
      </c>
      <c r="AD9" s="173"/>
      <c r="AE9" s="173">
        <f>(SUM(AE4+AF4)+SUM(AE5+AF5)+SUM(AE6+AF6)+SUM(AE7+AF7)+SUM(AE3+AF3))/5</f>
        <v>233.94585253456222</v>
      </c>
      <c r="AF9" s="173"/>
      <c r="AG9" s="173">
        <f>(SUM(AG4+AH4)+SUM(AG5+AH5)+SUM(AG6+AH6)+SUM(AG7+AH7)+SUM(AG3+AH3))/5</f>
        <v>229.12332750675355</v>
      </c>
      <c r="AH9" s="173"/>
      <c r="AI9" s="173">
        <f>(SUM(AI4+AJ4)+SUM(AI5+AJ5)+SUM(AI6+AJ6)+SUM(AI7+AJ7)+SUM(AI3+AJ3))/5</f>
        <v>218.36621643095501</v>
      </c>
      <c r="AJ9" s="173"/>
      <c r="AK9" s="173">
        <f>(SUM(AK4+AL4)+SUM(AK5+AL5)+SUM(AK6+AL6)+SUM(AK7+AL7)+SUM(AK3+AL3))/5</f>
        <v>214.77829334180834</v>
      </c>
      <c r="AL9" s="173"/>
      <c r="AM9" s="173">
        <f>(SUM(AM4+AN4)+SUM(AM5+AN5)+SUM(AM6+AN6)+SUM(AM7+AN7)+SUM(AM3+AN3))/5</f>
        <v>214.07268393453046</v>
      </c>
      <c r="AN9" s="173"/>
      <c r="AO9" s="173">
        <f>(SUM(AO4+AP4)+SUM(AO5+AP5)+SUM(AO6+AP6)+SUM(AO7+AP7)+SUM(AO3+AP3))/5</f>
        <v>210.43869378674717</v>
      </c>
      <c r="AP9" s="173"/>
      <c r="AQ9" s="173">
        <f>(SUM(AQ4+AR4)+SUM(AQ5+AR5)+SUM(AQ6+AR6)+SUM(AQ7+AR7)+SUM(AQ3+AR3))/5</f>
        <v>204.80800889877642</v>
      </c>
      <c r="AR9" s="173"/>
      <c r="AS9" s="173">
        <f>(SUM(AS4+AT4)+SUM(AS5+AT5)+SUM(AS6+AT6)+SUM(AS7+AT7)+SUM(AS3+AT3))/5</f>
        <v>194.71705069124422</v>
      </c>
      <c r="AT9" s="173"/>
      <c r="AU9" s="173">
        <f>(SUM(AU4+AV4)+SUM(AU5+AV5)+SUM(AU6+AV6)+SUM(AU7+AV7)+SUM(AU3+AV3))/5</f>
        <v>180.80221674876847</v>
      </c>
      <c r="AV9" s="173"/>
      <c r="AW9" s="173">
        <f>(SUM(AW4+AX4)+SUM(AW5+AX5)+SUM(AW6+AX6)+SUM(AW7+AX7)+SUM(AW3+AX3))/5</f>
        <v>173.4807325599873</v>
      </c>
      <c r="AX9" s="173"/>
    </row>
    <row r="10" spans="1:50" x14ac:dyDescent="0.15">
      <c r="A10" t="s">
        <v>128</v>
      </c>
      <c r="B10" s="64" t="s">
        <v>129</v>
      </c>
      <c r="C10" s="66">
        <f>'（日負荷曲線用元データ）'!B195</f>
        <v>59.662851196670132</v>
      </c>
      <c r="D10" s="66">
        <f>'（日負荷曲線用元データ）'!C195</f>
        <v>41.5</v>
      </c>
      <c r="E10" s="66">
        <f>'（日負荷曲線用元データ）'!D195</f>
        <v>39.804890738813739</v>
      </c>
      <c r="F10" s="66">
        <f>'（日負荷曲線用元データ）'!E195</f>
        <v>37.033333333333331</v>
      </c>
      <c r="G10" s="66">
        <f>'（日負荷曲線用元データ）'!F195</f>
        <v>37.218522372528618</v>
      </c>
      <c r="H10" s="66">
        <f>'（日負荷曲線用元データ）'!G195</f>
        <v>40.533333333333331</v>
      </c>
      <c r="I10" s="66">
        <f>'（日負荷曲線用元データ）'!H195</f>
        <v>39.959937565036419</v>
      </c>
      <c r="J10" s="66">
        <f>'（日負荷曲線用元データ）'!I195</f>
        <v>37.633333333333333</v>
      </c>
      <c r="K10" s="66">
        <f>'（日負荷曲線用元データ）'!J195</f>
        <v>35.301248699271596</v>
      </c>
      <c r="L10" s="66">
        <f>'（日負荷曲線用元データ）'!K195</f>
        <v>34.56666666666667</v>
      </c>
      <c r="M10" s="66">
        <f>'（日負荷曲線用元データ）'!L195</f>
        <v>36.657648283038505</v>
      </c>
      <c r="N10" s="66">
        <f>'（日負荷曲線用元データ）'!M195</f>
        <v>50.366666666666667</v>
      </c>
      <c r="O10" s="66">
        <f>'（日負荷曲線用元データ）'!N195</f>
        <v>96.781477627471375</v>
      </c>
      <c r="P10" s="66">
        <f>'（日負荷曲線用元データ）'!O195</f>
        <v>86.733333333333334</v>
      </c>
      <c r="Q10" s="66">
        <f>'（日負荷曲線用元データ）'!P195</f>
        <v>100.53173777315297</v>
      </c>
      <c r="R10" s="66">
        <f>'（日負荷曲線用元データ）'!Q195</f>
        <v>104.6</v>
      </c>
      <c r="S10" s="66">
        <f>'（日負荷曲線用元データ）'!R195</f>
        <v>106.29136316337149</v>
      </c>
      <c r="T10" s="66">
        <f>'（日負荷曲線用元データ）'!S195</f>
        <v>117.6</v>
      </c>
      <c r="U10" s="66">
        <f>'（日負荷曲線用元データ）'!T195</f>
        <v>121.88605619146722</v>
      </c>
      <c r="V10" s="66">
        <f>'（日負荷曲線用元データ）'!U195</f>
        <v>118</v>
      </c>
      <c r="W10" s="66">
        <f>'（日負荷曲線用元データ）'!V195</f>
        <v>114.47762747138398</v>
      </c>
      <c r="X10" s="66">
        <f>'（日負荷曲線用元データ）'!W195</f>
        <v>115.06666666666666</v>
      </c>
      <c r="Y10" s="66">
        <f>'（日負荷曲線用元データ）'!X195</f>
        <v>113.63995837669096</v>
      </c>
      <c r="Z10" s="66">
        <f>'（日負荷曲線用元データ）'!Y195</f>
        <v>116.06666666666666</v>
      </c>
      <c r="AA10" s="66">
        <f>'（日負荷曲線用元データ）'!Z195</f>
        <v>116.8735691987513</v>
      </c>
      <c r="AB10" s="66">
        <f>'（日負荷曲線用元データ）'!AA195</f>
        <v>117.8</v>
      </c>
      <c r="AC10" s="66">
        <f>'（日負荷曲線用元データ）'!AB195</f>
        <v>115.19094693028096</v>
      </c>
      <c r="AD10" s="66">
        <f>'（日負荷曲線用元データ）'!AC195</f>
        <v>114.9</v>
      </c>
      <c r="AE10" s="66">
        <f>'（日負荷曲線用元データ）'!AD195</f>
        <v>109.09209157127992</v>
      </c>
      <c r="AF10" s="66">
        <f>'（日負荷曲線用元データ）'!AE195</f>
        <v>117.7</v>
      </c>
      <c r="AG10" s="66">
        <f>'（日負荷曲線用元データ）'!AF195</f>
        <v>112.62539021852237</v>
      </c>
      <c r="AH10" s="66">
        <f>'（日負荷曲線用元データ）'!AG195</f>
        <v>109.23333333333333</v>
      </c>
      <c r="AI10" s="66">
        <f>'（日負荷曲線用元データ）'!AH195</f>
        <v>104.74037460978148</v>
      </c>
      <c r="AJ10" s="66">
        <f>'（日負荷曲線用元データ）'!AI195</f>
        <v>103.43333333333334</v>
      </c>
      <c r="AK10" s="66">
        <f>'（日負荷曲線用元データ）'!AJ195</f>
        <v>103.08116545265348</v>
      </c>
      <c r="AL10" s="66">
        <f>'（日負荷曲線用元データ）'!AK195</f>
        <v>103.43333333333334</v>
      </c>
      <c r="AM10" s="66">
        <f>'（日負荷曲線用元データ）'!AL195</f>
        <v>100.95889698231009</v>
      </c>
      <c r="AN10" s="66">
        <f>'（日負荷曲線用元データ）'!AM195</f>
        <v>105.83333333333333</v>
      </c>
      <c r="AO10" s="66">
        <f>'（日負荷曲線用元データ）'!AN195</f>
        <v>100.78876170655568</v>
      </c>
      <c r="AP10" s="66">
        <f>'（日負荷曲線用元データ）'!AO195</f>
        <v>99.833333333333329</v>
      </c>
      <c r="AQ10" s="66">
        <f>'（日負荷曲線用元データ）'!AP195</f>
        <v>95.856399583766901</v>
      </c>
      <c r="AR10" s="66">
        <f>'（日負荷曲線用元データ）'!AQ195</f>
        <v>101.33333333333333</v>
      </c>
      <c r="AS10" s="66">
        <f>'（日負荷曲線用元データ）'!AR195</f>
        <v>97.98699271592092</v>
      </c>
      <c r="AT10" s="66">
        <f>'（日負荷曲線用元データ）'!AS195</f>
        <v>94.266666666666666</v>
      </c>
      <c r="AU10" s="66">
        <f>'（日負荷曲線用元データ）'!AT195</f>
        <v>90.842872008324662</v>
      </c>
      <c r="AV10" s="66">
        <f>'（日負荷曲線用元データ）'!AU195</f>
        <v>89.3</v>
      </c>
      <c r="AW10" s="66">
        <f>'（日負荷曲線用元データ）'!AV195</f>
        <v>88.180020811654529</v>
      </c>
      <c r="AX10" s="66">
        <f>'（日負荷曲線用元データ）'!AW195</f>
        <v>85.066666666666663</v>
      </c>
    </row>
    <row r="11" spans="1:50" x14ac:dyDescent="0.15">
      <c r="A11" t="s">
        <v>128</v>
      </c>
      <c r="B11" s="64" t="s">
        <v>130</v>
      </c>
      <c r="C11" s="66">
        <f>'（日負荷曲線用元データ）'!B228</f>
        <v>65.032258064516128</v>
      </c>
      <c r="D11" s="66">
        <f>'（日負荷曲線用元データ）'!C228</f>
        <v>48.096774193548384</v>
      </c>
      <c r="E11" s="66">
        <f>'（日負荷曲線用元データ）'!D228</f>
        <v>47.903225806451616</v>
      </c>
      <c r="F11" s="66">
        <f>'（日負荷曲線用元データ）'!E228</f>
        <v>45.096774193548384</v>
      </c>
      <c r="G11" s="66">
        <f>'（日負荷曲線用元データ）'!F228</f>
        <v>44.12903225806452</v>
      </c>
      <c r="H11" s="66">
        <f>'（日負荷曲線用元データ）'!G228</f>
        <v>49.225806451612904</v>
      </c>
      <c r="I11" s="66">
        <f>'（日負荷曲線用元データ）'!H228</f>
        <v>48.096774193548384</v>
      </c>
      <c r="J11" s="66">
        <f>'（日負荷曲線用元データ）'!I228</f>
        <v>46.258064516129032</v>
      </c>
      <c r="K11" s="66">
        <f>'（日負荷曲線用元データ）'!J228</f>
        <v>43.741935483870968</v>
      </c>
      <c r="L11" s="66">
        <f>'（日負荷曲線用元データ）'!K228</f>
        <v>42.548387096774192</v>
      </c>
      <c r="M11" s="66">
        <f>'（日負荷曲線用元データ）'!L228</f>
        <v>44.322580645161288</v>
      </c>
      <c r="N11" s="66">
        <f>'（日負荷曲線用元データ）'!M228</f>
        <v>62.41935483870968</v>
      </c>
      <c r="O11" s="66">
        <f>'（日負荷曲線用元データ）'!N228</f>
        <v>91.41935483870968</v>
      </c>
      <c r="P11" s="66">
        <f>'（日負荷曲線用元データ）'!O228</f>
        <v>86.483870967741936</v>
      </c>
      <c r="Q11" s="66">
        <f>'（日負荷曲線用元データ）'!P228</f>
        <v>101.87096774193549</v>
      </c>
      <c r="R11" s="66">
        <f>'（日負荷曲線用元データ）'!Q228</f>
        <v>104.6774193548387</v>
      </c>
      <c r="S11" s="66">
        <f>'（日負荷曲線用元データ）'!R228</f>
        <v>108</v>
      </c>
      <c r="T11" s="66">
        <f>'（日負荷曲線用元データ）'!S228</f>
        <v>123.03225806451613</v>
      </c>
      <c r="U11" s="66">
        <f>'（日負荷曲線用元データ）'!T228</f>
        <v>128.96774193548387</v>
      </c>
      <c r="V11" s="66">
        <f>'（日負荷曲線用元データ）'!U228</f>
        <v>127.45161290322581</v>
      </c>
      <c r="W11" s="66">
        <f>'（日負荷曲線用元データ）'!V228</f>
        <v>124.3225806451613</v>
      </c>
      <c r="X11" s="66">
        <f>'（日負荷曲線用元データ）'!W228</f>
        <v>124.80645161290323</v>
      </c>
      <c r="Y11" s="66">
        <f>'（日負荷曲線用元データ）'!X228</f>
        <v>127.25806451612904</v>
      </c>
      <c r="Z11" s="66">
        <f>'（日負荷曲線用元データ）'!Y228</f>
        <v>129.32258064516128</v>
      </c>
      <c r="AA11" s="66">
        <f>'（日負荷曲線用元データ）'!Z228</f>
        <v>125.38709677419355</v>
      </c>
      <c r="AB11" s="66">
        <f>'（日負荷曲線用元データ）'!AA228</f>
        <v>131.96774193548387</v>
      </c>
      <c r="AC11" s="66">
        <f>'（日負荷曲線用元データ）'!AB228</f>
        <v>127.83870967741936</v>
      </c>
      <c r="AD11" s="66">
        <f>'（日負荷曲線用元データ）'!AC228</f>
        <v>128.87096774193549</v>
      </c>
      <c r="AE11" s="66">
        <f>'（日負荷曲線用元データ）'!AD228</f>
        <v>119.2258064516129</v>
      </c>
      <c r="AF11" s="66">
        <f>'（日負荷曲線用元データ）'!AE228</f>
        <v>132.06451612903226</v>
      </c>
      <c r="AG11" s="66">
        <f>'（日負荷曲線用元データ）'!AF228</f>
        <v>128.41935483870967</v>
      </c>
      <c r="AH11" s="66">
        <f>'（日負荷曲線用元データ）'!AG228</f>
        <v>123.06451612903226</v>
      </c>
      <c r="AI11" s="66">
        <f>'（日負荷曲線用元データ）'!AH228</f>
        <v>118.58064516129032</v>
      </c>
      <c r="AJ11" s="66">
        <f>'（日負荷曲線用元データ）'!AI228</f>
        <v>114.83870967741936</v>
      </c>
      <c r="AK11" s="66">
        <f>'（日負荷曲線用元データ）'!AJ228</f>
        <v>111.35483870967742</v>
      </c>
      <c r="AL11" s="66">
        <f>'（日負荷曲線用元データ）'!AK228</f>
        <v>110.03225806451613</v>
      </c>
      <c r="AM11" s="66">
        <f>'（日負荷曲線用元データ）'!AL228</f>
        <v>102.12903225806451</v>
      </c>
      <c r="AN11" s="66">
        <f>'（日負荷曲線用元データ）'!AM228</f>
        <v>109.96774193548387</v>
      </c>
      <c r="AO11" s="66">
        <f>'（日負荷曲線用元データ）'!AN228</f>
        <v>102.41935483870968</v>
      </c>
      <c r="AP11" s="66">
        <f>'（日負荷曲線用元データ）'!AO228</f>
        <v>102.93548387096774</v>
      </c>
      <c r="AQ11" s="66">
        <f>'（日負荷曲線用元データ）'!AP228</f>
        <v>97.032258064516128</v>
      </c>
      <c r="AR11" s="66">
        <f>'（日負荷曲線用元データ）'!AQ228</f>
        <v>104.35483870967742</v>
      </c>
      <c r="AS11" s="66">
        <f>'（日負荷曲線用元データ）'!AR228</f>
        <v>101</v>
      </c>
      <c r="AT11" s="66">
        <f>'（日負荷曲線用元データ）'!AS228</f>
        <v>95.677419354838705</v>
      </c>
      <c r="AU11" s="66">
        <f>'（日負荷曲線用元データ）'!AT228</f>
        <v>92.064516129032256</v>
      </c>
      <c r="AV11" s="66">
        <f>'（日負荷曲線用元データ）'!AU228</f>
        <v>89.354838709677423</v>
      </c>
      <c r="AW11" s="66">
        <f>'（日負荷曲線用元データ）'!AV228</f>
        <v>87.225806451612897</v>
      </c>
      <c r="AX11" s="66">
        <f>'（日負荷曲線用元データ）'!AW228</f>
        <v>85.870967741935488</v>
      </c>
    </row>
    <row r="12" spans="1:50" x14ac:dyDescent="0.15">
      <c r="A12" t="s">
        <v>131</v>
      </c>
      <c r="B12" s="64" t="s">
        <v>132</v>
      </c>
      <c r="C12" s="66">
        <f>'（日負荷曲線用元データ）'!B358</f>
        <v>77.90841013824884</v>
      </c>
      <c r="D12" s="66">
        <f>'（日負荷曲線用元データ）'!C358</f>
        <v>61.766666666666666</v>
      </c>
      <c r="E12" s="66">
        <f>'（日負荷曲線用元データ）'!D358</f>
        <v>62.332373271889402</v>
      </c>
      <c r="F12" s="66">
        <f>'（日負荷曲線用元データ）'!E358</f>
        <v>59.9</v>
      </c>
      <c r="G12" s="66">
        <f>'（日負荷曲線用元データ）'!F358</f>
        <v>56.396313364055295</v>
      </c>
      <c r="H12" s="66">
        <f>'（日負荷曲線用元データ）'!G358</f>
        <v>64.5</v>
      </c>
      <c r="I12" s="66">
        <f>'（日負荷曲線用元データ）'!H358</f>
        <v>63.342741935483872</v>
      </c>
      <c r="J12" s="66">
        <f>'（日負荷曲線用元データ）'!I358</f>
        <v>61.966666666666669</v>
      </c>
      <c r="K12" s="66">
        <f>'（日負荷曲線用元データ）'!J358</f>
        <v>58.893433179723495</v>
      </c>
      <c r="L12" s="66">
        <f>'（日負荷曲線用元データ）'!K358</f>
        <v>57.9</v>
      </c>
      <c r="M12" s="66">
        <f>'（日負荷曲線用元データ）'!L358</f>
        <v>61.148041474654377</v>
      </c>
      <c r="N12" s="66">
        <f>'（日負荷曲線用元データ）'!M358</f>
        <v>73.8</v>
      </c>
      <c r="O12" s="66">
        <f>'（日負荷曲線用元データ）'!N358</f>
        <v>103.07085253456221</v>
      </c>
      <c r="P12" s="66">
        <f>'（日負荷曲線用元データ）'!O358</f>
        <v>101.76666666666667</v>
      </c>
      <c r="Q12" s="66">
        <f>'（日負荷曲線用元データ）'!P358</f>
        <v>119.13364055299539</v>
      </c>
      <c r="R12" s="66">
        <f>'（日負荷曲線用元データ）'!Q358</f>
        <v>128.4</v>
      </c>
      <c r="S12" s="66">
        <f>'（日負荷曲線用元データ）'!R358</f>
        <v>129.31278801843317</v>
      </c>
      <c r="T12" s="66">
        <f>'（日負荷曲線用元データ）'!S358</f>
        <v>150.80000000000001</v>
      </c>
      <c r="U12" s="66">
        <f>'（日負荷曲線用元データ）'!T358</f>
        <v>157.03974654377882</v>
      </c>
      <c r="V12" s="66">
        <f>'（日負荷曲線用元データ）'!U358</f>
        <v>154.33333333333334</v>
      </c>
      <c r="W12" s="66">
        <f>'（日負荷曲線用元データ）'!V358</f>
        <v>152.62730414746542</v>
      </c>
      <c r="X12" s="66">
        <f>'（日負荷曲線用元データ）'!W358</f>
        <v>153.33333333333334</v>
      </c>
      <c r="Y12" s="66">
        <f>'（日負荷曲線用元データ）'!X358</f>
        <v>156.25518433179721</v>
      </c>
      <c r="Z12" s="66">
        <f>'（日負荷曲線用元データ）'!Y358</f>
        <v>158.86666666666667</v>
      </c>
      <c r="AA12" s="66">
        <f>'（日負荷曲線用元データ）'!Z358</f>
        <v>149.9884792626728</v>
      </c>
      <c r="AB12" s="66">
        <f>'（日負荷曲線用元データ）'!AA358</f>
        <v>159.80000000000001</v>
      </c>
      <c r="AC12" s="66">
        <f>'（日負荷曲線用元データ）'!AB358</f>
        <v>157.98271889400922</v>
      </c>
      <c r="AD12" s="66">
        <f>'（日負荷曲線用元データ）'!AC358</f>
        <v>155.63333333333333</v>
      </c>
      <c r="AE12" s="66">
        <f>'（日負荷曲線用元データ）'!AD358</f>
        <v>147.7913631633715</v>
      </c>
      <c r="AF12" s="66">
        <f>'（日負荷曲線用元データ）'!AE358</f>
        <v>160.16666666666666</v>
      </c>
      <c r="AG12" s="66">
        <f>'（日負荷曲線用元データ）'!AF358</f>
        <v>157.64255983350679</v>
      </c>
      <c r="AH12" s="66">
        <f>'（日負荷曲線用元データ）'!AG358</f>
        <v>151.36666666666667</v>
      </c>
      <c r="AI12" s="66">
        <f>'（日負荷曲線用元データ）'!AH358</f>
        <v>146.87252861602499</v>
      </c>
      <c r="AJ12" s="66">
        <f>'（日負荷曲線用元データ）'!AI358</f>
        <v>143.30000000000001</v>
      </c>
      <c r="AK12" s="66">
        <f>'（日負荷曲線用元データ）'!AJ358</f>
        <v>141.81477627471384</v>
      </c>
      <c r="AL12" s="66">
        <f>'（日負荷曲線用元データ）'!AK358</f>
        <v>138.73333333333332</v>
      </c>
      <c r="AM12" s="66">
        <f>'（日負荷曲線用元データ）'!AL358</f>
        <v>126.09105098855358</v>
      </c>
      <c r="AN12" s="66">
        <f>'（日負荷曲線用元データ）'!AM358</f>
        <v>134.5</v>
      </c>
      <c r="AO12" s="66">
        <f>'（日負荷曲線用元データ）'!AN358</f>
        <v>129.32622268470342</v>
      </c>
      <c r="AP12" s="66">
        <f>'（日負荷曲線用元データ）'!AO358</f>
        <v>127.96666666666667</v>
      </c>
      <c r="AQ12" s="66">
        <f>'（日負荷曲線用元データ）'!AP358</f>
        <v>119.40166493236212</v>
      </c>
      <c r="AR12" s="66">
        <f>'（日負荷曲線用元データ）'!AQ358</f>
        <v>127.46666666666667</v>
      </c>
      <c r="AS12" s="66">
        <f>'（日負荷曲線用元データ）'!AR358</f>
        <v>124.89021852237252</v>
      </c>
      <c r="AT12" s="66">
        <f>'（日負荷曲線用元データ）'!AS358</f>
        <v>117.3</v>
      </c>
      <c r="AU12" s="66">
        <f>'（日負荷曲線用元データ）'!AT358</f>
        <v>112.99063475546306</v>
      </c>
      <c r="AV12" s="66">
        <f>'（日負荷曲線用元データ）'!AU358</f>
        <v>110.53333333333333</v>
      </c>
      <c r="AW12" s="66">
        <f>'（日負荷曲線用元データ）'!AV358</f>
        <v>108.09001040582726</v>
      </c>
      <c r="AX12" s="66">
        <f>'（日負荷曲線用元データ）'!AW358</f>
        <v>105.53333333333333</v>
      </c>
    </row>
    <row r="13" spans="1:50" x14ac:dyDescent="0.15">
      <c r="A13" t="s">
        <v>131</v>
      </c>
      <c r="B13" s="64" t="s">
        <v>133</v>
      </c>
      <c r="C13" s="66">
        <f>'（日負荷曲線用元データ）'!B391</f>
        <v>65.41935483870968</v>
      </c>
      <c r="D13" s="66">
        <f>'（日負荷曲線用元データ）'!C391</f>
        <v>47.483870967741936</v>
      </c>
      <c r="E13" s="66">
        <f>'（日負荷曲線用元データ）'!D391</f>
        <v>46.903225806451616</v>
      </c>
      <c r="F13" s="66">
        <f>'（日負荷曲線用元データ）'!E391</f>
        <v>43.967741935483872</v>
      </c>
      <c r="G13" s="66">
        <f>'（日負荷曲線用元データ）'!F391</f>
        <v>43.064516129032256</v>
      </c>
      <c r="H13" s="66">
        <f>'（日負荷曲線用元データ）'!G391</f>
        <v>48.451612903225808</v>
      </c>
      <c r="I13" s="66">
        <f>'（日負荷曲線用元データ）'!H391</f>
        <v>46.29032258064516</v>
      </c>
      <c r="J13" s="66">
        <f>'（日負荷曲線用元データ）'!I391</f>
        <v>45.225806451612904</v>
      </c>
      <c r="K13" s="66">
        <f>'（日負荷曲線用元データ）'!J391</f>
        <v>42.225806451612904</v>
      </c>
      <c r="L13" s="66">
        <f>'（日負荷曲線用元データ）'!K391</f>
        <v>42.354838709677416</v>
      </c>
      <c r="M13" s="66">
        <f>'（日負荷曲線用元データ）'!L391</f>
        <v>43.70967741935484</v>
      </c>
      <c r="N13" s="66">
        <f>'（日負荷曲線用元データ）'!M391</f>
        <v>56.354838709677416</v>
      </c>
      <c r="O13" s="66">
        <f>'（日負荷曲線用元データ）'!N391</f>
        <v>98.451612903225808</v>
      </c>
      <c r="P13" s="66">
        <f>'（日負荷曲線用元データ）'!O391</f>
        <v>91.41935483870968</v>
      </c>
      <c r="Q13" s="66">
        <f>'（日負荷曲線用元データ）'!P391</f>
        <v>104.74193548387096</v>
      </c>
      <c r="R13" s="66">
        <f>'（日負荷曲線用元データ）'!Q391</f>
        <v>110.6774193548387</v>
      </c>
      <c r="S13" s="66">
        <f>'（日負荷曲線用元データ）'!R391</f>
        <v>113.2258064516129</v>
      </c>
      <c r="T13" s="66">
        <f>'（日負荷曲線用元データ）'!S391</f>
        <v>128.70967741935485</v>
      </c>
      <c r="U13" s="66">
        <f>'（日負荷曲線用元データ）'!T391</f>
        <v>133.7741935483871</v>
      </c>
      <c r="V13" s="66">
        <f>'（日負荷曲線用元データ）'!U391</f>
        <v>130.03225806451613</v>
      </c>
      <c r="W13" s="66">
        <f>'（日負荷曲線用元データ）'!V391</f>
        <v>127.41935483870968</v>
      </c>
      <c r="X13" s="66">
        <f>'（日負荷曲線用元データ）'!W391</f>
        <v>127.96774193548387</v>
      </c>
      <c r="Y13" s="66">
        <f>'（日負荷曲線用元データ）'!X391</f>
        <v>129.38709677419354</v>
      </c>
      <c r="Z13" s="66">
        <f>'（日負荷曲線用元データ）'!Y391</f>
        <v>129.38709677419354</v>
      </c>
      <c r="AA13" s="66">
        <f>'（日負荷曲線用元データ）'!Z391</f>
        <v>123.70967741935483</v>
      </c>
      <c r="AB13" s="66">
        <f>'（日負荷曲線用元データ）'!AA391</f>
        <v>133.09677419354838</v>
      </c>
      <c r="AC13" s="66">
        <f>'（日負荷曲線用元データ）'!AB391</f>
        <v>128.70967741935485</v>
      </c>
      <c r="AD13" s="66">
        <f>'（日負荷曲線用元データ）'!AC391</f>
        <v>128.45161290322579</v>
      </c>
      <c r="AE13" s="66">
        <f>'（日負荷曲線用元データ）'!AD391</f>
        <v>120.19354838709677</v>
      </c>
      <c r="AF13" s="66">
        <f>'（日負荷曲線用元データ）'!AE391</f>
        <v>132.09677419354838</v>
      </c>
      <c r="AG13" s="66">
        <f>'（日負荷曲線用元データ）'!AF391</f>
        <v>126.64516129032258</v>
      </c>
      <c r="AH13" s="66">
        <f>'（日負荷曲線用元データ）'!AG391</f>
        <v>122.61290322580645</v>
      </c>
      <c r="AI13" s="66">
        <f>'（日負荷曲線用元データ）'!AH391</f>
        <v>118.45161290322581</v>
      </c>
      <c r="AJ13" s="66">
        <f>'（日負荷曲線用元データ）'!AI391</f>
        <v>118.25806451612904</v>
      </c>
      <c r="AK13" s="66">
        <f>'（日負荷曲線用元データ）'!AJ391</f>
        <v>116.61290322580645</v>
      </c>
      <c r="AL13" s="66">
        <f>'（日負荷曲線用元データ）'!AK391</f>
        <v>115.35483870967742</v>
      </c>
      <c r="AM13" s="66">
        <f>'（日負荷曲線用元データ）'!AL391</f>
        <v>106.41935483870968</v>
      </c>
      <c r="AN13" s="66">
        <f>'（日負荷曲線用元データ）'!AM391</f>
        <v>116.6774193548387</v>
      </c>
      <c r="AO13" s="66">
        <f>'（日負荷曲線用元データ）'!AN391</f>
        <v>111.54838709677419</v>
      </c>
      <c r="AP13" s="66">
        <f>'（日負荷曲線用元データ）'!AO391</f>
        <v>112.48387096774194</v>
      </c>
      <c r="AQ13" s="66">
        <f>'（日負荷曲線用元データ）'!AP391</f>
        <v>106.70967741935483</v>
      </c>
      <c r="AR13" s="66">
        <f>'（日負荷曲線用元データ）'!AQ391</f>
        <v>114.70967741935483</v>
      </c>
      <c r="AS13" s="66">
        <f>'（日負荷曲線用元データ）'!AR391</f>
        <v>111.54838709677419</v>
      </c>
      <c r="AT13" s="66">
        <f>'（日負荷曲線用元データ）'!AS391</f>
        <v>106.41935483870968</v>
      </c>
      <c r="AU13" s="66">
        <f>'（日負荷曲線用元データ）'!AT391</f>
        <v>102.61290322580645</v>
      </c>
      <c r="AV13" s="66">
        <f>'（日負荷曲線用元データ）'!AU391</f>
        <v>100.90322580645162</v>
      </c>
      <c r="AW13" s="66">
        <f>'（日負荷曲線用元データ）'!AV391</f>
        <v>98.58064516129032</v>
      </c>
      <c r="AX13" s="66">
        <f>'（日負荷曲線用元データ）'!AW391</f>
        <v>95.967741935483872</v>
      </c>
    </row>
    <row r="14" spans="1:50" x14ac:dyDescent="0.15">
      <c r="B14" s="67" t="s">
        <v>121</v>
      </c>
      <c r="C14" s="68">
        <f>AVERAGE(C10:D13)</f>
        <v>58.358773258262723</v>
      </c>
      <c r="D14" s="68"/>
      <c r="E14" s="68">
        <f>AVERAGE(E10:F13)</f>
        <v>47.8676956357465</v>
      </c>
      <c r="F14" s="68"/>
      <c r="G14" s="68">
        <f>AVERAGE(G10:H13)</f>
        <v>47.93989210148159</v>
      </c>
      <c r="H14" s="68"/>
      <c r="I14" s="68">
        <f>AVERAGE(I10:J13)</f>
        <v>48.596705905306976</v>
      </c>
      <c r="J14" s="68"/>
      <c r="K14" s="68">
        <f>AVERAGE(K10:L13)</f>
        <v>44.691539535949659</v>
      </c>
      <c r="L14" s="68"/>
      <c r="M14" s="68">
        <f>AVERAGE(M10:N13)</f>
        <v>53.597351004657845</v>
      </c>
      <c r="N14" s="68"/>
      <c r="O14" s="68">
        <f>AVERAGE(O10:P13)</f>
        <v>94.515815463802596</v>
      </c>
      <c r="P14" s="68"/>
      <c r="Q14" s="68">
        <f>AVERAGE(Q10:R13)</f>
        <v>109.32914003270402</v>
      </c>
      <c r="R14" s="68"/>
      <c r="S14" s="68">
        <f>AVERAGE(S10:T13)</f>
        <v>122.12148663966107</v>
      </c>
      <c r="T14" s="68"/>
      <c r="U14" s="68">
        <f>AVERAGE(U10:V13)</f>
        <v>133.93561781502405</v>
      </c>
      <c r="V14" s="68"/>
      <c r="W14" s="68">
        <f>AVERAGE(W10:X13)</f>
        <v>130.00263258138844</v>
      </c>
      <c r="X14" s="68"/>
      <c r="Y14" s="68">
        <f>AVERAGE(Y10:Z13)</f>
        <v>132.52291434393737</v>
      </c>
      <c r="Z14" s="68"/>
      <c r="AA14" s="68">
        <f>AVERAGE(AA10:AB13)</f>
        <v>132.32791734800057</v>
      </c>
      <c r="AB14" s="68"/>
      <c r="AC14" s="68">
        <f>AVERAGE(AC10:AD13)</f>
        <v>132.19724586244487</v>
      </c>
      <c r="AD14" s="68"/>
      <c r="AE14" s="68">
        <f>AVERAGE(AE10:AF13)</f>
        <v>129.79134582032603</v>
      </c>
      <c r="AF14" s="68"/>
      <c r="AG14" s="68">
        <f>AVERAGE(AG10:AH13)</f>
        <v>128.95123569198751</v>
      </c>
      <c r="AH14" s="68"/>
      <c r="AI14" s="68">
        <f>AVERAGE(AI10:AJ13)</f>
        <v>121.05940860215054</v>
      </c>
      <c r="AJ14" s="68"/>
      <c r="AK14" s="68">
        <f>AVERAGE(AK10:AL13)</f>
        <v>117.55218088796393</v>
      </c>
      <c r="AL14" s="68"/>
      <c r="AM14" s="68">
        <f>AVERAGE(AM10:AN13)</f>
        <v>112.82210371141171</v>
      </c>
      <c r="AN14" s="68"/>
      <c r="AO14" s="68">
        <f>AVERAGE(AO10:AP13)</f>
        <v>110.91276014568159</v>
      </c>
      <c r="AP14" s="68"/>
      <c r="AQ14" s="68">
        <f>AVERAGE(AQ10:AR13)</f>
        <v>108.35806451612905</v>
      </c>
      <c r="AR14" s="68"/>
      <c r="AS14" s="68">
        <f>AVERAGE(AS10:AT13)</f>
        <v>106.13612989941032</v>
      </c>
      <c r="AT14" s="68"/>
      <c r="AU14" s="68">
        <f>AVERAGE(AU10:AV13)</f>
        <v>98.575290496011107</v>
      </c>
      <c r="AV14" s="68"/>
      <c r="AW14" s="68">
        <f>AVERAGE(AW10:AX13)</f>
        <v>94.314399063475548</v>
      </c>
      <c r="AX14" s="68"/>
    </row>
    <row r="15" spans="1:50" x14ac:dyDescent="0.15">
      <c r="C15" s="173">
        <f>(SUM(C10+D10)+SUM(C11+D12)+SUM(C12+D11)+SUM(D13+C13))/4</f>
        <v>116.71754651652543</v>
      </c>
      <c r="D15" s="173"/>
      <c r="E15" s="173">
        <f>(SUM(E10+F10)+SUM(E11+F12)+SUM(E12+F11)+SUM(F13+E13))/4</f>
        <v>95.735391271492986</v>
      </c>
      <c r="F15" s="173"/>
      <c r="G15" s="173">
        <f>(SUM(G10+H10)+SUM(G11+H12)+SUM(G12+H11)+SUM(H13+G13))/4</f>
        <v>95.879784202963179</v>
      </c>
      <c r="H15" s="173"/>
      <c r="I15" s="173">
        <f>(SUM(I10+J10)+SUM(I11+J12)+SUM(I12+J11)+SUM(J13+I13))/4</f>
        <v>97.193411810613938</v>
      </c>
      <c r="J15" s="173"/>
      <c r="K15" s="173">
        <f>(SUM(K10+L10)+SUM(K11+L12)+SUM(K12+L11)+SUM(L13+K13))/4</f>
        <v>89.383079071899303</v>
      </c>
      <c r="L15" s="173"/>
      <c r="M15" s="173">
        <f>(SUM(M10+N10)+SUM(M11+N12)+SUM(M12+N11)+SUM(N13+M13))/4</f>
        <v>107.19470200931569</v>
      </c>
      <c r="N15" s="173"/>
      <c r="O15" s="173">
        <f>(SUM(O10+P10)+SUM(O11+P12)+SUM(O12+P11)+SUM(P13+O13))/4</f>
        <v>189.03163092760516</v>
      </c>
      <c r="P15" s="173"/>
      <c r="Q15" s="173">
        <f>(SUM(Q10+R10)+SUM(Q11+R12)+SUM(Q12+R11)+SUM(R13+Q13))/4</f>
        <v>218.65828006540804</v>
      </c>
      <c r="R15" s="173"/>
      <c r="S15" s="173">
        <f>(SUM(S10+T10)+SUM(S11+T12)+SUM(S12+T11)+SUM(T13+S13))/4</f>
        <v>244.24297327932214</v>
      </c>
      <c r="T15" s="173"/>
      <c r="U15" s="173">
        <f>(SUM(U10+V10)+SUM(U11+V12)+SUM(U12+V11)+SUM(V13+U13))/4</f>
        <v>267.87123563004809</v>
      </c>
      <c r="V15" s="173"/>
      <c r="W15" s="173">
        <f>(SUM(W10+X10)+SUM(W11+X12)+SUM(W12+X11)+SUM(X13+W13))/4</f>
        <v>260.00526516277682</v>
      </c>
      <c r="X15" s="173"/>
      <c r="Y15" s="173">
        <f>(SUM(Y10+Z10)+SUM(Y11+Z12)+SUM(Y12+Z11)+SUM(Z13+Y13))/4</f>
        <v>265.04582868787475</v>
      </c>
      <c r="Z15" s="173"/>
      <c r="AA15" s="173">
        <f>(SUM(AA10+AB10)+SUM(AA11+AB12)+SUM(AA12+AB11)+SUM(AB13+AA13))/4</f>
        <v>264.65583469600119</v>
      </c>
      <c r="AB15" s="173"/>
      <c r="AC15" s="173">
        <f>(SUM(AC10+AD10)+SUM(AC11+AD12)+SUM(AC12+AD11)+SUM(AD13+AC13))/4</f>
        <v>264.3944917248898</v>
      </c>
      <c r="AD15" s="173"/>
      <c r="AE15" s="173">
        <f>(SUM(AE10+AF10)+SUM(AE11+AF12)+SUM(AE12+AF11)+SUM(AF13+AE13))/4</f>
        <v>259.58269164065211</v>
      </c>
      <c r="AF15" s="173"/>
      <c r="AG15" s="173">
        <f>(SUM(AG10+AH10)+SUM(AG11+AH12)+SUM(AG12+AH11)+SUM(AH13+AG13))/4</f>
        <v>257.90247138397501</v>
      </c>
      <c r="AH15" s="173"/>
      <c r="AI15" s="173">
        <f>(SUM(AI10+AJ10)+SUM(AI11+AJ12)+SUM(AI12+AJ11)+SUM(AJ13+AI13))/4</f>
        <v>242.11881720430108</v>
      </c>
      <c r="AJ15" s="173"/>
      <c r="AK15" s="173">
        <f>(SUM(AK10+AL10)+SUM(AK11+AL12)+SUM(AK12+AL11)+SUM(AL13+AK13))/4</f>
        <v>235.10436177592786</v>
      </c>
      <c r="AL15" s="173"/>
      <c r="AM15" s="173">
        <f>(SUM(AM10+AN10)+SUM(AM11+AN12)+SUM(AM12+AN11)+SUM(AN13+AM13))/4</f>
        <v>225.64420742282346</v>
      </c>
      <c r="AN15" s="173"/>
      <c r="AO15" s="173">
        <f>(SUM(AO10+AP10)+SUM(AO11+AP12)+SUM(AO12+AP11)+SUM(AP13+AO13))/4</f>
        <v>221.82552029136315</v>
      </c>
      <c r="AP15" s="173"/>
      <c r="AQ15" s="173">
        <f>(SUM(AQ10+AR10)+SUM(AQ11+AR12)+SUM(AQ12+AR11)+SUM(AR13+AQ13))/4</f>
        <v>216.71612903225807</v>
      </c>
      <c r="AR15" s="173"/>
      <c r="AS15" s="173">
        <f>(SUM(AS10+AT10)+SUM(AS11+AT12)+SUM(AS12+AT11)+SUM(AT13+AS13))/4</f>
        <v>212.2722597988207</v>
      </c>
      <c r="AT15" s="173"/>
      <c r="AU15" s="173">
        <f>(SUM(AU10+AV10)+SUM(AU11+AV12)+SUM(AU12+AV11)+SUM(AV13+AU13))/4</f>
        <v>197.15058099202219</v>
      </c>
      <c r="AV15" s="173"/>
      <c r="AW15" s="173">
        <f>(SUM(AW10+AX10)+SUM(AW11+AX12)+SUM(AW12+AX11)+SUM(AX13+AW13))/4</f>
        <v>188.6287981269511</v>
      </c>
      <c r="AX15" s="173"/>
    </row>
    <row r="16" spans="1:50" x14ac:dyDescent="0.15">
      <c r="A16" t="s">
        <v>134</v>
      </c>
      <c r="B16" s="64" t="s">
        <v>135</v>
      </c>
      <c r="C16" s="66">
        <f>'（日負荷曲線用元データ）'!B260</f>
        <v>70.244016649323626</v>
      </c>
      <c r="D16" s="66">
        <f>'（日負荷曲線用元データ）'!C260</f>
        <v>53.06666666666667</v>
      </c>
      <c r="E16" s="66">
        <f>'（日負荷曲線用元データ）'!D260</f>
        <v>52.661290322580648</v>
      </c>
      <c r="F16" s="66">
        <f>'（日負荷曲線用元データ）'!E260</f>
        <v>49.633333333333333</v>
      </c>
      <c r="G16" s="66">
        <f>'（日負荷曲線用元データ）'!F260</f>
        <v>47.312174817898025</v>
      </c>
      <c r="H16" s="66">
        <f>'（日負荷曲線用元データ）'!G260</f>
        <v>53.466666666666669</v>
      </c>
      <c r="I16" s="66">
        <f>'（日負荷曲線用元データ）'!H260</f>
        <v>51.973465140478673</v>
      </c>
      <c r="J16" s="66">
        <f>'（日負荷曲線用元データ）'!I260</f>
        <v>50.9</v>
      </c>
      <c r="K16" s="66">
        <f>'（日負荷曲線用元データ）'!J260</f>
        <v>48.133714880332981</v>
      </c>
      <c r="L16" s="66">
        <f>'（日負荷曲線用元データ）'!K260</f>
        <v>47.166666666666664</v>
      </c>
      <c r="M16" s="66">
        <f>'（日負荷曲線用元データ）'!L260</f>
        <v>48.947450572320506</v>
      </c>
      <c r="N16" s="66">
        <f>'（日負荷曲線用元データ）'!M260</f>
        <v>68.3</v>
      </c>
      <c r="O16" s="66">
        <f>'（日負荷曲線用元データ）'!N260</f>
        <v>91.998439125910508</v>
      </c>
      <c r="P16" s="66">
        <f>'（日負荷曲線用元データ）'!O260</f>
        <v>93.36666666666666</v>
      </c>
      <c r="Q16" s="66">
        <f>'（日負荷曲線用元データ）'!P260</f>
        <v>108.87981269510927</v>
      </c>
      <c r="R16" s="66">
        <f>'（日負荷曲線用元データ）'!Q260</f>
        <v>115.06666666666666</v>
      </c>
      <c r="S16" s="66">
        <f>'（日負荷曲線用元データ）'!R260</f>
        <v>119.59729448491154</v>
      </c>
      <c r="T16" s="66">
        <f>'（日負荷曲線用元データ）'!S260</f>
        <v>137.9</v>
      </c>
      <c r="U16" s="66">
        <f>'（日負荷曲線用元データ）'!T260</f>
        <v>144.61966701352759</v>
      </c>
      <c r="V16" s="66">
        <f>'（日負荷曲線用元データ）'!U260</f>
        <v>142.5</v>
      </c>
      <c r="W16" s="66">
        <f>'（日負荷曲線用元データ）'!V260</f>
        <v>140.05046826222684</v>
      </c>
      <c r="X16" s="66">
        <f>'（日負荷曲線用元データ）'!W260</f>
        <v>141.56666666666666</v>
      </c>
      <c r="Y16" s="66">
        <f>'（日負荷曲線用元データ）'!X260</f>
        <v>142.46097814776275</v>
      </c>
      <c r="Z16" s="66">
        <f>'（日負荷曲線用元データ）'!Y260</f>
        <v>145</v>
      </c>
      <c r="AA16" s="66">
        <f>'（日負荷曲線用元データ）'!Z260</f>
        <v>137.98959417273673</v>
      </c>
      <c r="AB16" s="66">
        <f>'（日負荷曲線用元データ）'!AA260</f>
        <v>147.16666666666666</v>
      </c>
      <c r="AC16" s="66">
        <f>'（日負荷曲線用元データ）'!AB260</f>
        <v>143.72112382934446</v>
      </c>
      <c r="AD16" s="66">
        <f>'（日負荷曲線用元データ）'!AC260</f>
        <v>142.43333333333334</v>
      </c>
      <c r="AE16" s="66">
        <f>'（日負荷曲線用元データ）'!AD260</f>
        <v>132.92403746097813</v>
      </c>
      <c r="AF16" s="66">
        <f>'（日負荷曲線用元データ）'!AE260</f>
        <v>147.83333333333334</v>
      </c>
      <c r="AG16" s="66">
        <f>'（日負荷曲線用元データ）'!AF260</f>
        <v>143.63683662851199</v>
      </c>
      <c r="AH16" s="66">
        <f>'（日負荷曲線用元データ）'!AG260</f>
        <v>139.13333333333333</v>
      </c>
      <c r="AI16" s="66">
        <f>'（日負荷曲線用元データ）'!AH260</f>
        <v>132.92611862643082</v>
      </c>
      <c r="AJ16" s="66">
        <f>'（日負荷曲線用元データ）'!AI260</f>
        <v>130.46666666666667</v>
      </c>
      <c r="AK16" s="66">
        <f>'（日負荷曲線用元データ）'!AJ260</f>
        <v>128.31269510926117</v>
      </c>
      <c r="AL16" s="66">
        <f>'（日負荷曲線用元データ）'!AK260</f>
        <v>125.9</v>
      </c>
      <c r="AM16" s="66">
        <f>'（日負荷曲線用元データ）'!AL260</f>
        <v>113.61446409989594</v>
      </c>
      <c r="AN16" s="66">
        <f>'（日負荷曲線用元データ）'!AM260</f>
        <v>125.43333333333334</v>
      </c>
      <c r="AO16" s="66">
        <f>'（日負荷曲線用元データ）'!AN260</f>
        <v>117.73152965660771</v>
      </c>
      <c r="AP16" s="66">
        <f>'（日負荷曲線用元データ）'!AO260</f>
        <v>116.7</v>
      </c>
      <c r="AQ16" s="66">
        <f>'（日負荷曲線用元データ）'!AP260</f>
        <v>108.24817898022893</v>
      </c>
      <c r="AR16" s="66">
        <f>'（日負荷曲線用元データ）'!AQ260</f>
        <v>117.43333333333334</v>
      </c>
      <c r="AS16" s="66">
        <f>'（日負荷曲線用元データ）'!AR260</f>
        <v>112.43028095733611</v>
      </c>
      <c r="AT16" s="66">
        <f>'（日負荷曲線用元データ）'!AS260</f>
        <v>106.23333333333333</v>
      </c>
      <c r="AU16" s="66">
        <f>'（日負荷曲線用元データ）'!AT260</f>
        <v>101.44224765868887</v>
      </c>
      <c r="AV16" s="66">
        <f>'（日負荷曲線用元データ）'!AU260</f>
        <v>99.066666666666663</v>
      </c>
      <c r="AW16" s="66">
        <f>'（日負荷曲線用元データ）'!AV260</f>
        <v>96.727367325702389</v>
      </c>
      <c r="AX16" s="66">
        <f>'（日負荷曲線用元データ）'!AW260</f>
        <v>95.7</v>
      </c>
    </row>
    <row r="17" spans="1:50" x14ac:dyDescent="0.15">
      <c r="A17" t="s">
        <v>134</v>
      </c>
      <c r="B17" s="64" t="s">
        <v>136</v>
      </c>
      <c r="C17" s="66">
        <f>'（日負荷曲線用元データ）'!B293</f>
        <v>75.677419354838705</v>
      </c>
      <c r="D17" s="66">
        <f>'（日負荷曲線用元データ）'!C293</f>
        <v>58.741935483870968</v>
      </c>
      <c r="E17" s="66">
        <f>'（日負荷曲線用元データ）'!D293</f>
        <v>58.096774193548384</v>
      </c>
      <c r="F17" s="66">
        <f>'（日負荷曲線用元データ）'!E293</f>
        <v>55.161290322580648</v>
      </c>
      <c r="G17" s="66">
        <f>'（日負荷曲線用元データ）'!F293</f>
        <v>51.677419354838712</v>
      </c>
      <c r="H17" s="66">
        <f>'（日負荷曲線用元データ）'!G293</f>
        <v>59.322580645161288</v>
      </c>
      <c r="I17" s="66">
        <f>'（日負荷曲線用元データ）'!H293</f>
        <v>57.483870967741936</v>
      </c>
      <c r="J17" s="66">
        <f>'（日負荷曲線用元データ）'!I293</f>
        <v>56.322580645161288</v>
      </c>
      <c r="K17" s="66">
        <f>'（日負荷曲線用元データ）'!J293</f>
        <v>53.29032258064516</v>
      </c>
      <c r="L17" s="66">
        <f>'（日負荷曲線用元データ）'!K293</f>
        <v>53.032258064516128</v>
      </c>
      <c r="M17" s="66">
        <f>'（日負荷曲線用元データ）'!L293</f>
        <v>54.483870967741936</v>
      </c>
      <c r="N17" s="66">
        <f>'（日負荷曲線用元データ）'!M293</f>
        <v>73.903225806451616</v>
      </c>
      <c r="O17" s="66">
        <f>'（日負荷曲線用元データ）'!N293</f>
        <v>99.41935483870968</v>
      </c>
      <c r="P17" s="66">
        <f>'（日負荷曲線用元データ）'!O293</f>
        <v>101.2258064516129</v>
      </c>
      <c r="Q17" s="66">
        <f>'（日負荷曲線用元データ）'!P293</f>
        <v>117.16129032258064</v>
      </c>
      <c r="R17" s="66">
        <f>'（日負荷曲線用元データ）'!Q293</f>
        <v>123</v>
      </c>
      <c r="S17" s="66">
        <f>'（日負荷曲線用元データ）'!R293</f>
        <v>125.06451612903226</v>
      </c>
      <c r="T17" s="66">
        <f>'（日負荷曲線用元データ）'!S293</f>
        <v>145.45161290322579</v>
      </c>
      <c r="U17" s="66">
        <f>'（日負荷曲線用元データ）'!T293</f>
        <v>153.54838709677421</v>
      </c>
      <c r="V17" s="66">
        <f>'（日負荷曲線用元データ）'!U293</f>
        <v>149.83870967741936</v>
      </c>
      <c r="W17" s="66">
        <f>'（日負荷曲線用元データ）'!V293</f>
        <v>145.38709677419354</v>
      </c>
      <c r="X17" s="66">
        <f>'（日負荷曲線用元データ）'!W293</f>
        <v>146.41935483870967</v>
      </c>
      <c r="Y17" s="66">
        <f>'（日負荷曲線用元データ）'!X293</f>
        <v>147.25806451612902</v>
      </c>
      <c r="Z17" s="66">
        <f>'（日負荷曲線用元データ）'!Y293</f>
        <v>148.09677419354838</v>
      </c>
      <c r="AA17" s="66">
        <f>'（日負荷曲線用元データ）'!Z293</f>
        <v>143.51612903225808</v>
      </c>
      <c r="AB17" s="66">
        <f>'（日負荷曲線用元データ）'!AA293</f>
        <v>151.2258064516129</v>
      </c>
      <c r="AC17" s="66">
        <f>'（日負荷曲線用元データ）'!AB293</f>
        <v>149</v>
      </c>
      <c r="AD17" s="66">
        <f>'（日負荷曲線用元データ）'!AC293</f>
        <v>146.38709677419354</v>
      </c>
      <c r="AE17" s="66">
        <f>'（日負荷曲線用元データ）'!AD293</f>
        <v>138.96774193548387</v>
      </c>
      <c r="AF17" s="66">
        <f>'（日負荷曲線用元データ）'!AE293</f>
        <v>151.61290322580646</v>
      </c>
      <c r="AG17" s="66">
        <f>'（日負荷曲線用元データ）'!AF293</f>
        <v>148.06451612903226</v>
      </c>
      <c r="AH17" s="66">
        <f>'（日負荷曲線用元データ）'!AG293</f>
        <v>145.48387096774192</v>
      </c>
      <c r="AI17" s="66">
        <f>'（日負荷曲線用元データ）'!AH293</f>
        <v>140.09677419354838</v>
      </c>
      <c r="AJ17" s="66">
        <f>'（日負荷曲線用元データ）'!AI293</f>
        <v>137.03225806451613</v>
      </c>
      <c r="AK17" s="66">
        <f>'（日負荷曲線用元データ）'!AJ293</f>
        <v>135.12903225806451</v>
      </c>
      <c r="AL17" s="66">
        <f>'（日負荷曲線用元データ）'!AK293</f>
        <v>133.48387096774192</v>
      </c>
      <c r="AM17" s="66">
        <f>'（日負荷曲線用元データ）'!AL293</f>
        <v>122.83870967741936</v>
      </c>
      <c r="AN17" s="66">
        <f>'（日負荷曲線用元データ）'!AM293</f>
        <v>133.32258064516128</v>
      </c>
      <c r="AO17" s="66">
        <f>'（日負荷曲線用元データ）'!AN293</f>
        <v>126.19354838709677</v>
      </c>
      <c r="AP17" s="66">
        <f>'（日負荷曲線用元データ）'!AO293</f>
        <v>124.12903225806451</v>
      </c>
      <c r="AQ17" s="66">
        <f>'（日負荷曲線用元データ）'!AP293</f>
        <v>115.06451612903226</v>
      </c>
      <c r="AR17" s="66">
        <f>'（日負荷曲線用元データ）'!AQ293</f>
        <v>125.54838709677419</v>
      </c>
      <c r="AS17" s="66">
        <f>'（日負荷曲線用元データ）'!AR293</f>
        <v>121.70967741935483</v>
      </c>
      <c r="AT17" s="66">
        <f>'（日負荷曲線用元データ）'!AS293</f>
        <v>114.6774193548387</v>
      </c>
      <c r="AU17" s="66">
        <f>'（日負荷曲線用元データ）'!AT293</f>
        <v>110.58064516129032</v>
      </c>
      <c r="AV17" s="66">
        <f>'（日負荷曲線用元データ）'!AU293</f>
        <v>107.29032258064517</v>
      </c>
      <c r="AW17" s="66">
        <f>'（日負荷曲線用元データ）'!AV293</f>
        <v>105.25806451612904</v>
      </c>
      <c r="AX17" s="66">
        <f>'（日負荷曲線用元データ）'!AW293</f>
        <v>103.16129032258064</v>
      </c>
    </row>
    <row r="18" spans="1:50" x14ac:dyDescent="0.15">
      <c r="A18" t="s">
        <v>134</v>
      </c>
      <c r="B18" s="64" t="s">
        <v>137</v>
      </c>
      <c r="C18" s="66">
        <f>'（日負荷曲線用元データ）'!B326</f>
        <v>83.428571428571431</v>
      </c>
      <c r="D18" s="66">
        <f>'（日負荷曲線用元データ）'!C326</f>
        <v>66.892857142857139</v>
      </c>
      <c r="E18" s="66">
        <f>'（日負荷曲線用元データ）'!D326</f>
        <v>66.678571428571431</v>
      </c>
      <c r="F18" s="66">
        <f>'（日負荷曲線用元データ）'!E326</f>
        <v>63.928571428571431</v>
      </c>
      <c r="G18" s="66">
        <f>'（日負荷曲線用元データ）'!F326</f>
        <v>58.928571428571431</v>
      </c>
      <c r="H18" s="66">
        <f>'（日負荷曲線用元データ）'!G326</f>
        <v>67.642857142857139</v>
      </c>
      <c r="I18" s="66">
        <f>'（日負荷曲線用元データ）'!H326</f>
        <v>66</v>
      </c>
      <c r="J18" s="66">
        <f>'（日負荷曲線用元データ）'!I326</f>
        <v>65.25</v>
      </c>
      <c r="K18" s="66">
        <f>'（日負荷曲線用元データ）'!J326</f>
        <v>62.607142857142854</v>
      </c>
      <c r="L18" s="66">
        <f>'（日負荷曲線用元データ）'!K326</f>
        <v>62.785714285714285</v>
      </c>
      <c r="M18" s="66">
        <f>'（日負荷曲線用元データ）'!L326</f>
        <v>69.964285714285708</v>
      </c>
      <c r="N18" s="66">
        <f>'（日負荷曲線用元データ）'!M326</f>
        <v>83.214285714285708</v>
      </c>
      <c r="O18" s="66">
        <f>'（日負荷曲線用元データ）'!N326</f>
        <v>108.28571428571429</v>
      </c>
      <c r="P18" s="66">
        <f>'（日負荷曲線用元データ）'!O326</f>
        <v>114.10714285714286</v>
      </c>
      <c r="Q18" s="66">
        <f>'（日負荷曲線用元データ）'!P326</f>
        <v>130</v>
      </c>
      <c r="R18" s="66">
        <f>'（日負荷曲線用元データ）'!Q326</f>
        <v>140.28571428571428</v>
      </c>
      <c r="S18" s="66">
        <f>'（日負荷曲線用元データ）'!R326</f>
        <v>141.03571428571428</v>
      </c>
      <c r="T18" s="66">
        <f>'（日負荷曲線用元データ）'!S326</f>
        <v>166.35714285714286</v>
      </c>
      <c r="U18" s="66">
        <f>'（日負荷曲線用元データ）'!T326</f>
        <v>173.60714285714286</v>
      </c>
      <c r="V18" s="66">
        <f>'（日負荷曲線用元データ）'!U326</f>
        <v>172.85714285714286</v>
      </c>
      <c r="W18" s="66">
        <f>'（日負荷曲線用元データ）'!V326</f>
        <v>173.39285714285714</v>
      </c>
      <c r="X18" s="66">
        <f>'（日負荷曲線用元データ）'!W326</f>
        <v>175.5</v>
      </c>
      <c r="Y18" s="66">
        <f>'（日負荷曲線用元データ）'!X326</f>
        <v>178.32142857142858</v>
      </c>
      <c r="Z18" s="66">
        <f>'（日負荷曲線用元データ）'!Y326</f>
        <v>181.5</v>
      </c>
      <c r="AA18" s="66">
        <f>'（日負荷曲線用元データ）'!Z326</f>
        <v>172.82142857142858</v>
      </c>
      <c r="AB18" s="66">
        <f>'（日負荷曲線用元データ）'!AA326</f>
        <v>182.46428571428572</v>
      </c>
      <c r="AC18" s="66">
        <f>'（日負荷曲線用元データ）'!AB326</f>
        <v>180.96428571428572</v>
      </c>
      <c r="AD18" s="66">
        <f>'（日負荷曲線用元データ）'!AC326</f>
        <v>179.96428571428572</v>
      </c>
      <c r="AE18" s="66">
        <f>'（日負荷曲線用元データ）'!AD326</f>
        <v>169.2258064516129</v>
      </c>
      <c r="AF18" s="66">
        <f>'（日負荷曲線用元データ）'!AE326</f>
        <v>183.83870967741936</v>
      </c>
      <c r="AG18" s="66">
        <f>'（日負荷曲線用元データ）'!AF326</f>
        <v>181.87096774193549</v>
      </c>
      <c r="AH18" s="66">
        <f>'（日負荷曲線用元データ）'!AG326</f>
        <v>177.96774193548387</v>
      </c>
      <c r="AI18" s="66">
        <f>'（日負荷曲線用元データ）'!AH326</f>
        <v>171.67741935483872</v>
      </c>
      <c r="AJ18" s="66">
        <f>'（日負荷曲線用元データ）'!AI326</f>
        <v>168.41935483870967</v>
      </c>
      <c r="AK18" s="66">
        <f>'（日負荷曲線用元データ）'!AJ326</f>
        <v>164.54838709677421</v>
      </c>
      <c r="AL18" s="66">
        <f>'（日負荷曲線用元データ）'!AK326</f>
        <v>161.96774193548387</v>
      </c>
      <c r="AM18" s="66">
        <f>'（日負荷曲線用元データ）'!AL326</f>
        <v>145.80645161290323</v>
      </c>
      <c r="AN18" s="66">
        <f>'（日負荷曲線用元データ）'!AM326</f>
        <v>155.83870967741936</v>
      </c>
      <c r="AO18" s="66">
        <f>'（日負荷曲線用元データ）'!AN326</f>
        <v>149</v>
      </c>
      <c r="AP18" s="66">
        <f>'（日負荷曲線用元データ）'!AO326</f>
        <v>145.2258064516129</v>
      </c>
      <c r="AQ18" s="66">
        <f>'（日負荷曲線用元データ）'!AP326</f>
        <v>135.16129032258064</v>
      </c>
      <c r="AR18" s="66">
        <f>'（日負荷曲線用元データ）'!AQ326</f>
        <v>143.74193548387098</v>
      </c>
      <c r="AS18" s="66">
        <f>'（日負荷曲線用元データ）'!AR326</f>
        <v>138.74193548387098</v>
      </c>
      <c r="AT18" s="66">
        <f>'（日負荷曲線用元データ）'!AS326</f>
        <v>130.45161290322579</v>
      </c>
      <c r="AU18" s="66">
        <f>'（日負荷曲線用元データ）'!AT326</f>
        <v>125.35483870967742</v>
      </c>
      <c r="AV18" s="66">
        <f>'（日負荷曲線用元データ）'!AU326</f>
        <v>122.06451612903226</v>
      </c>
      <c r="AW18" s="66">
        <f>'（日負荷曲線用元データ）'!AV326</f>
        <v>118.90322580645162</v>
      </c>
      <c r="AX18" s="66">
        <f>'（日負荷曲線用元データ）'!AW326</f>
        <v>116.6774193548387</v>
      </c>
    </row>
    <row r="19" spans="1:50" x14ac:dyDescent="0.15">
      <c r="B19" s="67" t="s">
        <v>121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</row>
    <row r="20" spans="1:50" x14ac:dyDescent="0.15">
      <c r="C20" s="173">
        <f>(SUM(C16+D16)+SUM(C17+D17)+SUM(C18+D18))/3</f>
        <v>136.01715557537617</v>
      </c>
      <c r="D20" s="173"/>
      <c r="E20" s="173">
        <f>(SUM(E16+F16)+SUM(E17+F17)+SUM(E18+F18))/3</f>
        <v>115.38661034306195</v>
      </c>
      <c r="F20" s="173"/>
      <c r="G20" s="173">
        <f>(SUM(G16+H16)+SUM(G17+H17)+SUM(G18+H18))/3</f>
        <v>112.78342335199774</v>
      </c>
      <c r="H20" s="173"/>
      <c r="I20" s="173">
        <f>(SUM(I16+J16)+SUM(I17+J17)+SUM(I18+J18))/3</f>
        <v>115.97663891779398</v>
      </c>
      <c r="J20" s="173"/>
      <c r="K20" s="173">
        <f>(SUM(K16+L16)+SUM(K17+L17)+SUM(K18+L18))/3</f>
        <v>109.00527311167268</v>
      </c>
      <c r="L20" s="173"/>
      <c r="M20" s="173">
        <f>(SUM(M16+N16)+SUM(M17+N17)+SUM(M18+N18))/3</f>
        <v>132.93770625836183</v>
      </c>
      <c r="N20" s="173"/>
      <c r="O20" s="173">
        <f>(SUM(O16+P16)+SUM(O17+P17)+SUM(O18+P18))/3</f>
        <v>202.80104140858566</v>
      </c>
      <c r="P20" s="173"/>
      <c r="Q20" s="173">
        <f>(SUM(Q16+R16)+SUM(Q17+R17)+SUM(Q18+R18))/3</f>
        <v>244.79782799002359</v>
      </c>
      <c r="R20" s="173"/>
      <c r="S20" s="173">
        <f>(SUM(S16+T16)+SUM(S17+T17)+SUM(S18+T18))/3</f>
        <v>278.4687602200089</v>
      </c>
      <c r="T20" s="173"/>
      <c r="U20" s="173">
        <f>(SUM(U16+V16)+SUM(U17+V17)+SUM(U18+V18))/3</f>
        <v>312.32368316733567</v>
      </c>
      <c r="V20" s="173"/>
      <c r="W20" s="173">
        <f>(SUM(W16+X16)+SUM(W17+X17)+SUM(W18+X18))/3</f>
        <v>307.43881456155128</v>
      </c>
      <c r="X20" s="173"/>
      <c r="Y20" s="173">
        <f>(SUM(Y16+Z16)+SUM(Y17+Z17)+SUM(Y18+Z18))/3</f>
        <v>314.21241514295622</v>
      </c>
      <c r="Z20" s="173"/>
      <c r="AA20" s="173">
        <f>(SUM(AA16+AB16)+SUM(AA17+AB17)+SUM(AA18+AB18))/3</f>
        <v>311.72797020299623</v>
      </c>
      <c r="AB20" s="173"/>
      <c r="AC20" s="173">
        <f>(SUM(AC16+AD16)+SUM(AC17+AD17)+SUM(AC18+AD18))/3</f>
        <v>314.15670845514757</v>
      </c>
      <c r="AD20" s="173"/>
      <c r="AE20" s="173">
        <f>(SUM(AE16+AF16)+SUM(AE17+AF17)+SUM(AE18+AF18))/3</f>
        <v>308.13417736154469</v>
      </c>
      <c r="AF20" s="173"/>
      <c r="AG20" s="173">
        <f>(SUM(AG16+AH16)+SUM(AG17+AH17)+SUM(AG18+AH18))/3</f>
        <v>312.05242224534629</v>
      </c>
      <c r="AH20" s="173"/>
      <c r="AI20" s="173">
        <f>(SUM(AI16+AJ16)+SUM(AI17+AJ17)+SUM(AI18+AJ18))/3</f>
        <v>293.53953058157015</v>
      </c>
      <c r="AJ20" s="173"/>
      <c r="AK20" s="173">
        <f>(SUM(AK16+AL16)+SUM(AK17+AL17)+SUM(AK18+AL18))/3</f>
        <v>283.1139091224419</v>
      </c>
      <c r="AL20" s="173"/>
      <c r="AM20" s="173">
        <f>(SUM(AM16+AN16)+SUM(AM17+AN17)+SUM(AM18+AN18))/3</f>
        <v>265.61808301537752</v>
      </c>
      <c r="AN20" s="173"/>
      <c r="AO20" s="173">
        <f>(SUM(AO16+AP16)+SUM(AO17+AP17)+SUM(AO18+AP18))/3</f>
        <v>259.65997225112733</v>
      </c>
      <c r="AP20" s="173"/>
      <c r="AQ20" s="173">
        <f>(SUM(AQ16+AR16)+SUM(AQ17+AR17)+SUM(AQ18+AR18))/3</f>
        <v>248.39921378194012</v>
      </c>
      <c r="AR20" s="173"/>
      <c r="AS20" s="173">
        <f>(SUM(AS16+AT16)+SUM(AS17+AT17)+SUM(AS18+AT18))/3</f>
        <v>241.41475315065327</v>
      </c>
      <c r="AT20" s="173"/>
      <c r="AU20" s="173">
        <f>(SUM(AU16+AV16)+SUM(AU17+AV17)+SUM(AU18+AV18))/3</f>
        <v>221.9330789686669</v>
      </c>
      <c r="AV20" s="173"/>
      <c r="AW20" s="173">
        <f>(SUM(AW16+AX16)+SUM(AW17+AX17)+SUM(AW18+AX18))/3</f>
        <v>212.14245577523411</v>
      </c>
      <c r="AX20" s="173"/>
    </row>
  </sheetData>
  <mergeCells count="72">
    <mergeCell ref="AW20:AX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Y20:Z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W15:AX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Y15:Z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AW9:AX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Y9:Z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</mergeCells>
  <phoneticPr fontId="3"/>
  <conditionalFormatting sqref="C2:AX2">
    <cfRule type="expression" dxfId="0" priority="1" stopIfTrue="1">
      <formula>C3=1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57BE-E3C2-4BD8-AC63-BCCFBEBB3879}">
  <sheetPr>
    <tabColor theme="0" tint="-0.499984740745262"/>
  </sheetPr>
  <dimension ref="A1:AY392"/>
  <sheetViews>
    <sheetView zoomScale="90" zoomScaleNormal="90" workbookViewId="0">
      <pane xSplit="1" ySplit="2" topLeftCell="B3" activePane="bottomRight" state="frozen"/>
      <selection activeCell="C17" sqref="C17"/>
      <selection pane="topRight" activeCell="C17" sqref="C17"/>
      <selection pane="bottomLeft" activeCell="C17" sqref="C17"/>
      <selection pane="bottomRight" activeCell="C17" sqref="C17"/>
    </sheetView>
  </sheetViews>
  <sheetFormatPr defaultRowHeight="13.5" x14ac:dyDescent="0.15"/>
  <cols>
    <col min="1" max="1" width="12.625" bestFit="1" customWidth="1"/>
    <col min="257" max="257" width="12.625" bestFit="1" customWidth="1"/>
    <col min="513" max="513" width="12.625" bestFit="1" customWidth="1"/>
    <col min="769" max="769" width="12.625" bestFit="1" customWidth="1"/>
    <col min="1025" max="1025" width="12.625" bestFit="1" customWidth="1"/>
    <col min="1281" max="1281" width="12.625" bestFit="1" customWidth="1"/>
    <col min="1537" max="1537" width="12.625" bestFit="1" customWidth="1"/>
    <col min="1793" max="1793" width="12.625" bestFit="1" customWidth="1"/>
    <col min="2049" max="2049" width="12.625" bestFit="1" customWidth="1"/>
    <col min="2305" max="2305" width="12.625" bestFit="1" customWidth="1"/>
    <col min="2561" max="2561" width="12.625" bestFit="1" customWidth="1"/>
    <col min="2817" max="2817" width="12.625" bestFit="1" customWidth="1"/>
    <col min="3073" max="3073" width="12.625" bestFit="1" customWidth="1"/>
    <col min="3329" max="3329" width="12.625" bestFit="1" customWidth="1"/>
    <col min="3585" max="3585" width="12.625" bestFit="1" customWidth="1"/>
    <col min="3841" max="3841" width="12.625" bestFit="1" customWidth="1"/>
    <col min="4097" max="4097" width="12.625" bestFit="1" customWidth="1"/>
    <col min="4353" max="4353" width="12.625" bestFit="1" customWidth="1"/>
    <col min="4609" max="4609" width="12.625" bestFit="1" customWidth="1"/>
    <col min="4865" max="4865" width="12.625" bestFit="1" customWidth="1"/>
    <col min="5121" max="5121" width="12.625" bestFit="1" customWidth="1"/>
    <col min="5377" max="5377" width="12.625" bestFit="1" customWidth="1"/>
    <col min="5633" max="5633" width="12.625" bestFit="1" customWidth="1"/>
    <col min="5889" max="5889" width="12.625" bestFit="1" customWidth="1"/>
    <col min="6145" max="6145" width="12.625" bestFit="1" customWidth="1"/>
    <col min="6401" max="6401" width="12.625" bestFit="1" customWidth="1"/>
    <col min="6657" max="6657" width="12.625" bestFit="1" customWidth="1"/>
    <col min="6913" max="6913" width="12.625" bestFit="1" customWidth="1"/>
    <col min="7169" max="7169" width="12.625" bestFit="1" customWidth="1"/>
    <col min="7425" max="7425" width="12.625" bestFit="1" customWidth="1"/>
    <col min="7681" max="7681" width="12.625" bestFit="1" customWidth="1"/>
    <col min="7937" max="7937" width="12.625" bestFit="1" customWidth="1"/>
    <col min="8193" max="8193" width="12.625" bestFit="1" customWidth="1"/>
    <col min="8449" max="8449" width="12.625" bestFit="1" customWidth="1"/>
    <col min="8705" max="8705" width="12.625" bestFit="1" customWidth="1"/>
    <col min="8961" max="8961" width="12.625" bestFit="1" customWidth="1"/>
    <col min="9217" max="9217" width="12.625" bestFit="1" customWidth="1"/>
    <col min="9473" max="9473" width="12.625" bestFit="1" customWidth="1"/>
    <col min="9729" max="9729" width="12.625" bestFit="1" customWidth="1"/>
    <col min="9985" max="9985" width="12.625" bestFit="1" customWidth="1"/>
    <col min="10241" max="10241" width="12.625" bestFit="1" customWidth="1"/>
    <col min="10497" max="10497" width="12.625" bestFit="1" customWidth="1"/>
    <col min="10753" max="10753" width="12.625" bestFit="1" customWidth="1"/>
    <col min="11009" max="11009" width="12.625" bestFit="1" customWidth="1"/>
    <col min="11265" max="11265" width="12.625" bestFit="1" customWidth="1"/>
    <col min="11521" max="11521" width="12.625" bestFit="1" customWidth="1"/>
    <col min="11777" max="11777" width="12.625" bestFit="1" customWidth="1"/>
    <col min="12033" max="12033" width="12.625" bestFit="1" customWidth="1"/>
    <col min="12289" max="12289" width="12.625" bestFit="1" customWidth="1"/>
    <col min="12545" max="12545" width="12.625" bestFit="1" customWidth="1"/>
    <col min="12801" max="12801" width="12.625" bestFit="1" customWidth="1"/>
    <col min="13057" max="13057" width="12.625" bestFit="1" customWidth="1"/>
    <col min="13313" max="13313" width="12.625" bestFit="1" customWidth="1"/>
    <col min="13569" max="13569" width="12.625" bestFit="1" customWidth="1"/>
    <col min="13825" max="13825" width="12.625" bestFit="1" customWidth="1"/>
    <col min="14081" max="14081" width="12.625" bestFit="1" customWidth="1"/>
    <col min="14337" max="14337" width="12.625" bestFit="1" customWidth="1"/>
    <col min="14593" max="14593" width="12.625" bestFit="1" customWidth="1"/>
    <col min="14849" max="14849" width="12.625" bestFit="1" customWidth="1"/>
    <col min="15105" max="15105" width="12.625" bestFit="1" customWidth="1"/>
    <col min="15361" max="15361" width="12.625" bestFit="1" customWidth="1"/>
    <col min="15617" max="15617" width="12.625" bestFit="1" customWidth="1"/>
    <col min="15873" max="15873" width="12.625" bestFit="1" customWidth="1"/>
    <col min="16129" max="16129" width="12.625" bestFit="1" customWidth="1"/>
  </cols>
  <sheetData>
    <row r="1" spans="1:49" x14ac:dyDescent="0.15">
      <c r="A1" t="s">
        <v>138</v>
      </c>
      <c r="C1" t="s">
        <v>139</v>
      </c>
      <c r="D1" s="70" t="s">
        <v>140</v>
      </c>
    </row>
    <row r="2" spans="1:49" x14ac:dyDescent="0.15">
      <c r="B2" s="71">
        <v>0</v>
      </c>
      <c r="C2" s="71">
        <v>2.0833333333333332E-2</v>
      </c>
      <c r="D2" s="71">
        <v>4.1666666666666699E-2</v>
      </c>
      <c r="E2" s="71">
        <v>6.25E-2</v>
      </c>
      <c r="F2" s="71">
        <v>8.3333333333333301E-2</v>
      </c>
      <c r="G2" s="71">
        <v>0.104166666666667</v>
      </c>
      <c r="H2" s="71">
        <v>0.125</v>
      </c>
      <c r="I2" s="71">
        <v>0.14583333333333301</v>
      </c>
      <c r="J2" s="71">
        <v>0.16666666666666699</v>
      </c>
      <c r="K2" s="71">
        <v>0.1875</v>
      </c>
      <c r="L2" s="71">
        <v>0.20833333333333301</v>
      </c>
      <c r="M2" s="71">
        <v>0.22916666666666699</v>
      </c>
      <c r="N2" s="71">
        <v>0.25</v>
      </c>
      <c r="O2" s="71">
        <v>0.27083333333333298</v>
      </c>
      <c r="P2" s="71">
        <v>0.29166666666666702</v>
      </c>
      <c r="Q2" s="71">
        <v>0.3125</v>
      </c>
      <c r="R2" s="71">
        <v>0.33333333333333298</v>
      </c>
      <c r="S2" s="71">
        <v>0.35416666666666702</v>
      </c>
      <c r="T2" s="71">
        <v>0.375</v>
      </c>
      <c r="U2" s="71">
        <v>0.39583333333333298</v>
      </c>
      <c r="V2" s="71">
        <v>0.41666666666666702</v>
      </c>
      <c r="W2" s="71">
        <v>0.4375</v>
      </c>
      <c r="X2" s="71">
        <v>0.45833333333333298</v>
      </c>
      <c r="Y2" s="71">
        <v>0.47916666666666702</v>
      </c>
      <c r="Z2" s="71">
        <v>0.5</v>
      </c>
      <c r="AA2" s="71">
        <v>0.52083333333333304</v>
      </c>
      <c r="AB2" s="71">
        <v>0.54166666666666696</v>
      </c>
      <c r="AC2" s="71">
        <v>0.5625</v>
      </c>
      <c r="AD2" s="71">
        <v>0.58333333333333304</v>
      </c>
      <c r="AE2" s="71">
        <v>0.60416666666666696</v>
      </c>
      <c r="AF2" s="71">
        <v>0.625</v>
      </c>
      <c r="AG2" s="71">
        <v>0.64583333333333304</v>
      </c>
      <c r="AH2" s="71">
        <v>0.66666666666666696</v>
      </c>
      <c r="AI2" s="71">
        <v>0.6875</v>
      </c>
      <c r="AJ2" s="71">
        <v>0.70833333333333304</v>
      </c>
      <c r="AK2" s="71">
        <v>0.72916666666666696</v>
      </c>
      <c r="AL2" s="71">
        <v>0.75</v>
      </c>
      <c r="AM2" s="71">
        <v>0.77083333333333304</v>
      </c>
      <c r="AN2" s="71">
        <v>0.79166666666666696</v>
      </c>
      <c r="AO2" s="71">
        <v>0.8125</v>
      </c>
      <c r="AP2" s="71">
        <v>0.83333333333333304</v>
      </c>
      <c r="AQ2" s="71">
        <v>0.85416666666666696</v>
      </c>
      <c r="AR2" s="71">
        <v>0.875</v>
      </c>
      <c r="AS2" s="71">
        <v>0.89583333333333304</v>
      </c>
      <c r="AT2" s="71">
        <v>0.91666666666666696</v>
      </c>
      <c r="AU2" s="71">
        <v>0.9375</v>
      </c>
      <c r="AV2" s="71">
        <v>0.95833333333333304</v>
      </c>
      <c r="AW2" s="71">
        <v>0.97916666666666696</v>
      </c>
    </row>
    <row r="3" spans="1:49" x14ac:dyDescent="0.15">
      <c r="A3" s="83">
        <v>20201101</v>
      </c>
      <c r="B3" s="83">
        <v>58</v>
      </c>
      <c r="C3" s="83">
        <v>42</v>
      </c>
      <c r="D3" s="83">
        <v>41</v>
      </c>
      <c r="E3" s="83">
        <v>39</v>
      </c>
      <c r="F3" s="83">
        <v>39</v>
      </c>
      <c r="G3" s="83">
        <v>42</v>
      </c>
      <c r="H3" s="83">
        <v>41</v>
      </c>
      <c r="I3" s="83">
        <v>39</v>
      </c>
      <c r="J3" s="83">
        <v>37</v>
      </c>
      <c r="K3" s="83">
        <v>38</v>
      </c>
      <c r="L3" s="83">
        <v>40</v>
      </c>
      <c r="M3" s="83">
        <v>51</v>
      </c>
      <c r="N3" s="83">
        <v>98</v>
      </c>
      <c r="O3" s="83">
        <v>104</v>
      </c>
      <c r="P3" s="83">
        <v>105</v>
      </c>
      <c r="Q3" s="83">
        <v>111</v>
      </c>
      <c r="R3" s="83">
        <v>115</v>
      </c>
      <c r="S3" s="83">
        <v>123</v>
      </c>
      <c r="T3" s="83">
        <v>127</v>
      </c>
      <c r="U3" s="83">
        <v>132</v>
      </c>
      <c r="V3" s="83">
        <v>131</v>
      </c>
      <c r="W3" s="83">
        <v>124</v>
      </c>
      <c r="X3" s="83">
        <v>127</v>
      </c>
      <c r="Y3" s="83">
        <v>131</v>
      </c>
      <c r="Z3" s="83">
        <v>121</v>
      </c>
      <c r="AA3" s="83">
        <v>132</v>
      </c>
      <c r="AB3" s="83">
        <v>128</v>
      </c>
      <c r="AC3" s="83">
        <v>123</v>
      </c>
      <c r="AD3" s="83">
        <v>119</v>
      </c>
      <c r="AE3" s="83">
        <v>129</v>
      </c>
      <c r="AF3" s="83">
        <v>124</v>
      </c>
      <c r="AG3" s="83">
        <v>121</v>
      </c>
      <c r="AH3" s="83">
        <v>121</v>
      </c>
      <c r="AI3" s="83">
        <v>121</v>
      </c>
      <c r="AJ3" s="83">
        <v>118</v>
      </c>
      <c r="AK3" s="83">
        <v>113</v>
      </c>
      <c r="AL3" s="83">
        <v>106</v>
      </c>
      <c r="AM3" s="83">
        <v>109</v>
      </c>
      <c r="AN3" s="83">
        <v>108</v>
      </c>
      <c r="AO3" s="83">
        <v>109</v>
      </c>
      <c r="AP3" s="83">
        <v>105</v>
      </c>
      <c r="AQ3" s="83">
        <v>112</v>
      </c>
      <c r="AR3" s="83">
        <v>113</v>
      </c>
      <c r="AS3" s="83">
        <v>109</v>
      </c>
      <c r="AT3" s="83">
        <v>105</v>
      </c>
      <c r="AU3" s="83">
        <v>104</v>
      </c>
      <c r="AV3" s="83">
        <v>103</v>
      </c>
      <c r="AW3" s="83">
        <v>97</v>
      </c>
    </row>
    <row r="4" spans="1:49" x14ac:dyDescent="0.15">
      <c r="A4" s="83">
        <v>20201102</v>
      </c>
      <c r="B4" s="83">
        <v>60</v>
      </c>
      <c r="C4" s="83">
        <v>46</v>
      </c>
      <c r="D4" s="83">
        <v>46</v>
      </c>
      <c r="E4" s="83">
        <v>44</v>
      </c>
      <c r="F4" s="83">
        <v>42</v>
      </c>
      <c r="G4" s="83">
        <v>48</v>
      </c>
      <c r="H4" s="83">
        <v>45</v>
      </c>
      <c r="I4" s="83">
        <v>44</v>
      </c>
      <c r="J4" s="83">
        <v>41</v>
      </c>
      <c r="K4" s="83">
        <v>43</v>
      </c>
      <c r="L4" s="83">
        <v>45</v>
      </c>
      <c r="M4" s="83">
        <v>54</v>
      </c>
      <c r="N4" s="83">
        <v>103</v>
      </c>
      <c r="O4" s="83">
        <v>94</v>
      </c>
      <c r="P4" s="83">
        <v>105</v>
      </c>
      <c r="Q4" s="83">
        <v>118</v>
      </c>
      <c r="R4" s="83">
        <v>112</v>
      </c>
      <c r="S4" s="83">
        <v>128</v>
      </c>
      <c r="T4" s="83">
        <v>132</v>
      </c>
      <c r="U4" s="83">
        <v>128</v>
      </c>
      <c r="V4" s="83">
        <v>122</v>
      </c>
      <c r="W4" s="83">
        <v>123</v>
      </c>
      <c r="X4" s="83">
        <v>120</v>
      </c>
      <c r="Y4" s="83">
        <v>123</v>
      </c>
      <c r="Z4" s="83">
        <v>123</v>
      </c>
      <c r="AA4" s="83">
        <v>123</v>
      </c>
      <c r="AB4" s="83">
        <v>120</v>
      </c>
      <c r="AC4" s="83">
        <v>120</v>
      </c>
      <c r="AD4" s="83">
        <v>112</v>
      </c>
      <c r="AE4" s="83">
        <v>125</v>
      </c>
      <c r="AF4" s="83">
        <v>117</v>
      </c>
      <c r="AG4" s="83">
        <v>121</v>
      </c>
      <c r="AH4" s="83">
        <v>113</v>
      </c>
      <c r="AI4" s="83">
        <v>115</v>
      </c>
      <c r="AJ4" s="83">
        <v>115</v>
      </c>
      <c r="AK4" s="83">
        <v>116</v>
      </c>
      <c r="AL4" s="83">
        <v>105</v>
      </c>
      <c r="AM4" s="83">
        <v>117</v>
      </c>
      <c r="AN4" s="83">
        <v>107</v>
      </c>
      <c r="AO4" s="83">
        <v>108</v>
      </c>
      <c r="AP4" s="83">
        <v>104</v>
      </c>
      <c r="AQ4" s="83">
        <v>115</v>
      </c>
      <c r="AR4" s="83">
        <v>111</v>
      </c>
      <c r="AS4" s="83">
        <v>109</v>
      </c>
      <c r="AT4" s="83">
        <v>106</v>
      </c>
      <c r="AU4" s="83">
        <v>105</v>
      </c>
      <c r="AV4" s="83">
        <v>103</v>
      </c>
      <c r="AW4" s="83">
        <v>97</v>
      </c>
    </row>
    <row r="5" spans="1:49" x14ac:dyDescent="0.15">
      <c r="A5" s="83">
        <v>20201103</v>
      </c>
      <c r="B5" s="83">
        <v>64</v>
      </c>
      <c r="C5" s="83">
        <v>45</v>
      </c>
      <c r="D5" s="83">
        <v>47</v>
      </c>
      <c r="E5" s="83">
        <v>44</v>
      </c>
      <c r="F5" s="83">
        <v>43</v>
      </c>
      <c r="G5" s="83">
        <v>48</v>
      </c>
      <c r="H5" s="83">
        <v>46</v>
      </c>
      <c r="I5" s="83">
        <v>44</v>
      </c>
      <c r="J5" s="83">
        <v>43</v>
      </c>
      <c r="K5" s="83">
        <v>39</v>
      </c>
      <c r="L5" s="83">
        <v>44</v>
      </c>
      <c r="M5" s="83">
        <v>54</v>
      </c>
      <c r="N5" s="83">
        <v>102</v>
      </c>
      <c r="O5" s="83">
        <v>100</v>
      </c>
      <c r="P5" s="83">
        <v>114</v>
      </c>
      <c r="Q5" s="83">
        <v>118</v>
      </c>
      <c r="R5" s="83">
        <v>115</v>
      </c>
      <c r="S5" s="83">
        <v>135</v>
      </c>
      <c r="T5" s="83">
        <v>136</v>
      </c>
      <c r="U5" s="83">
        <v>125</v>
      </c>
      <c r="V5" s="83">
        <v>125</v>
      </c>
      <c r="W5" s="83">
        <v>122</v>
      </c>
      <c r="X5" s="83">
        <v>127</v>
      </c>
      <c r="Y5" s="83">
        <v>128</v>
      </c>
      <c r="Z5" s="83">
        <v>127</v>
      </c>
      <c r="AA5" s="83">
        <v>134</v>
      </c>
      <c r="AB5" s="83">
        <v>125</v>
      </c>
      <c r="AC5" s="83">
        <v>125</v>
      </c>
      <c r="AD5" s="83">
        <v>118</v>
      </c>
      <c r="AE5" s="83">
        <v>127</v>
      </c>
      <c r="AF5" s="83">
        <v>118</v>
      </c>
      <c r="AG5" s="83">
        <v>116</v>
      </c>
      <c r="AH5" s="83">
        <v>115</v>
      </c>
      <c r="AI5" s="83">
        <v>114</v>
      </c>
      <c r="AJ5" s="83">
        <v>111</v>
      </c>
      <c r="AK5" s="83">
        <v>111</v>
      </c>
      <c r="AL5" s="83">
        <v>104</v>
      </c>
      <c r="AM5" s="83">
        <v>113</v>
      </c>
      <c r="AN5" s="83">
        <v>114</v>
      </c>
      <c r="AO5" s="83">
        <v>108</v>
      </c>
      <c r="AP5" s="83">
        <v>102</v>
      </c>
      <c r="AQ5" s="83">
        <v>109</v>
      </c>
      <c r="AR5" s="83">
        <v>108</v>
      </c>
      <c r="AS5" s="83">
        <v>106</v>
      </c>
      <c r="AT5" s="83">
        <v>99</v>
      </c>
      <c r="AU5" s="83">
        <v>99</v>
      </c>
      <c r="AV5" s="83">
        <v>95</v>
      </c>
      <c r="AW5" s="83">
        <v>97</v>
      </c>
    </row>
    <row r="6" spans="1:49" x14ac:dyDescent="0.15">
      <c r="A6" s="83">
        <v>20201104</v>
      </c>
      <c r="B6" s="83">
        <v>64</v>
      </c>
      <c r="C6" s="83">
        <v>43</v>
      </c>
      <c r="D6" s="83">
        <v>43</v>
      </c>
      <c r="E6" s="83">
        <v>39</v>
      </c>
      <c r="F6" s="83">
        <v>40</v>
      </c>
      <c r="G6" s="83">
        <v>44</v>
      </c>
      <c r="H6" s="83">
        <v>43</v>
      </c>
      <c r="I6" s="83">
        <v>39</v>
      </c>
      <c r="J6" s="83">
        <v>38</v>
      </c>
      <c r="K6" s="83">
        <v>37</v>
      </c>
      <c r="L6" s="83">
        <v>39</v>
      </c>
      <c r="M6" s="83">
        <v>50</v>
      </c>
      <c r="N6" s="83">
        <v>100</v>
      </c>
      <c r="O6" s="83">
        <v>89</v>
      </c>
      <c r="P6" s="83">
        <v>100</v>
      </c>
      <c r="Q6" s="83">
        <v>110</v>
      </c>
      <c r="R6" s="83">
        <v>109</v>
      </c>
      <c r="S6" s="83">
        <v>123</v>
      </c>
      <c r="T6" s="83">
        <v>128</v>
      </c>
      <c r="U6" s="83">
        <v>114</v>
      </c>
      <c r="V6" s="83">
        <v>115</v>
      </c>
      <c r="W6" s="83">
        <v>117</v>
      </c>
      <c r="X6" s="83">
        <v>120</v>
      </c>
      <c r="Y6" s="83">
        <v>119</v>
      </c>
      <c r="Z6" s="83">
        <v>112</v>
      </c>
      <c r="AA6" s="83">
        <v>114</v>
      </c>
      <c r="AB6" s="83">
        <v>112</v>
      </c>
      <c r="AC6" s="83">
        <v>113</v>
      </c>
      <c r="AD6" s="83">
        <v>111</v>
      </c>
      <c r="AE6" s="83">
        <v>122</v>
      </c>
      <c r="AF6" s="83">
        <v>113</v>
      </c>
      <c r="AG6" s="83">
        <v>107</v>
      </c>
      <c r="AH6" s="83">
        <v>110</v>
      </c>
      <c r="AI6" s="83">
        <v>109</v>
      </c>
      <c r="AJ6" s="83">
        <v>105</v>
      </c>
      <c r="AK6" s="83">
        <v>109</v>
      </c>
      <c r="AL6" s="83">
        <v>107</v>
      </c>
      <c r="AM6" s="83">
        <v>106</v>
      </c>
      <c r="AN6" s="83">
        <v>101</v>
      </c>
      <c r="AO6" s="83">
        <v>102</v>
      </c>
      <c r="AP6" s="83">
        <v>99</v>
      </c>
      <c r="AQ6" s="83">
        <v>109</v>
      </c>
      <c r="AR6" s="83">
        <v>104</v>
      </c>
      <c r="AS6" s="83">
        <v>99</v>
      </c>
      <c r="AT6" s="83">
        <v>98</v>
      </c>
      <c r="AU6" s="83">
        <v>93</v>
      </c>
      <c r="AV6" s="83">
        <v>95</v>
      </c>
      <c r="AW6" s="83">
        <v>91</v>
      </c>
    </row>
    <row r="7" spans="1:49" x14ac:dyDescent="0.15">
      <c r="A7" s="83">
        <v>20201105</v>
      </c>
      <c r="B7" s="83">
        <v>57</v>
      </c>
      <c r="C7" s="83">
        <v>41</v>
      </c>
      <c r="D7" s="83">
        <v>42</v>
      </c>
      <c r="E7" s="83">
        <v>39</v>
      </c>
      <c r="F7" s="83">
        <v>38</v>
      </c>
      <c r="G7" s="83">
        <v>41</v>
      </c>
      <c r="H7" s="83">
        <v>41</v>
      </c>
      <c r="I7" s="83">
        <v>40</v>
      </c>
      <c r="J7" s="83">
        <v>36</v>
      </c>
      <c r="K7" s="83">
        <v>38</v>
      </c>
      <c r="L7" s="83">
        <v>40</v>
      </c>
      <c r="M7" s="83">
        <v>51</v>
      </c>
      <c r="N7" s="83">
        <v>100</v>
      </c>
      <c r="O7" s="83">
        <v>93</v>
      </c>
      <c r="P7" s="83">
        <v>104</v>
      </c>
      <c r="Q7" s="83">
        <v>110</v>
      </c>
      <c r="R7" s="83">
        <v>115</v>
      </c>
      <c r="S7" s="83">
        <v>117</v>
      </c>
      <c r="T7" s="83">
        <v>134</v>
      </c>
      <c r="U7" s="83">
        <v>123</v>
      </c>
      <c r="V7" s="83">
        <v>122</v>
      </c>
      <c r="W7" s="83">
        <v>123</v>
      </c>
      <c r="X7" s="83">
        <v>123</v>
      </c>
      <c r="Y7" s="83">
        <v>122</v>
      </c>
      <c r="Z7" s="83">
        <v>127</v>
      </c>
      <c r="AA7" s="83">
        <v>124</v>
      </c>
      <c r="AB7" s="83">
        <v>121</v>
      </c>
      <c r="AC7" s="83">
        <v>120</v>
      </c>
      <c r="AD7" s="83">
        <v>117</v>
      </c>
      <c r="AE7" s="83">
        <v>123</v>
      </c>
      <c r="AF7" s="83">
        <v>119</v>
      </c>
      <c r="AG7" s="83">
        <v>118</v>
      </c>
      <c r="AH7" s="83">
        <v>115</v>
      </c>
      <c r="AI7" s="83">
        <v>113</v>
      </c>
      <c r="AJ7" s="83">
        <v>114</v>
      </c>
      <c r="AK7" s="83">
        <v>113</v>
      </c>
      <c r="AL7" s="83">
        <v>107</v>
      </c>
      <c r="AM7" s="83">
        <v>115</v>
      </c>
      <c r="AN7" s="83">
        <v>112</v>
      </c>
      <c r="AO7" s="83">
        <v>109</v>
      </c>
      <c r="AP7" s="83">
        <v>104</v>
      </c>
      <c r="AQ7" s="83">
        <v>110</v>
      </c>
      <c r="AR7" s="83">
        <v>110</v>
      </c>
      <c r="AS7" s="83">
        <v>104</v>
      </c>
      <c r="AT7" s="83">
        <v>101</v>
      </c>
      <c r="AU7" s="83">
        <v>99</v>
      </c>
      <c r="AV7" s="83">
        <v>98</v>
      </c>
      <c r="AW7" s="83">
        <v>91</v>
      </c>
    </row>
    <row r="8" spans="1:49" x14ac:dyDescent="0.15">
      <c r="A8" s="83">
        <v>20201106</v>
      </c>
      <c r="B8" s="83">
        <v>60</v>
      </c>
      <c r="C8" s="83">
        <v>43</v>
      </c>
      <c r="D8" s="83">
        <v>42</v>
      </c>
      <c r="E8" s="83">
        <v>38</v>
      </c>
      <c r="F8" s="83">
        <v>40</v>
      </c>
      <c r="G8" s="83">
        <v>42</v>
      </c>
      <c r="H8" s="83">
        <v>41</v>
      </c>
      <c r="I8" s="83">
        <v>39</v>
      </c>
      <c r="J8" s="83">
        <v>37</v>
      </c>
      <c r="K8" s="83">
        <v>36</v>
      </c>
      <c r="L8" s="83">
        <v>36</v>
      </c>
      <c r="M8" s="83">
        <v>41</v>
      </c>
      <c r="N8" s="83">
        <v>100</v>
      </c>
      <c r="O8" s="83">
        <v>88</v>
      </c>
      <c r="P8" s="83">
        <v>100</v>
      </c>
      <c r="Q8" s="83">
        <v>106</v>
      </c>
      <c r="R8" s="83">
        <v>112</v>
      </c>
      <c r="S8" s="83">
        <v>124</v>
      </c>
      <c r="T8" s="83">
        <v>123</v>
      </c>
      <c r="U8" s="83">
        <v>123</v>
      </c>
      <c r="V8" s="83">
        <v>123</v>
      </c>
      <c r="W8" s="83">
        <v>120</v>
      </c>
      <c r="X8" s="83">
        <v>124</v>
      </c>
      <c r="Y8" s="83">
        <v>124</v>
      </c>
      <c r="Z8" s="83">
        <v>122</v>
      </c>
      <c r="AA8" s="83">
        <v>122</v>
      </c>
      <c r="AB8" s="83">
        <v>118</v>
      </c>
      <c r="AC8" s="83">
        <v>116</v>
      </c>
      <c r="AD8" s="83">
        <v>114</v>
      </c>
      <c r="AE8" s="83">
        <v>122</v>
      </c>
      <c r="AF8" s="83">
        <v>118</v>
      </c>
      <c r="AG8" s="83">
        <v>116</v>
      </c>
      <c r="AH8" s="83">
        <v>115</v>
      </c>
      <c r="AI8" s="83">
        <v>114</v>
      </c>
      <c r="AJ8" s="83">
        <v>111</v>
      </c>
      <c r="AK8" s="83">
        <v>111</v>
      </c>
      <c r="AL8" s="83">
        <v>103</v>
      </c>
      <c r="AM8" s="83">
        <v>111</v>
      </c>
      <c r="AN8" s="83">
        <v>106</v>
      </c>
      <c r="AO8" s="83">
        <v>114</v>
      </c>
      <c r="AP8" s="83">
        <v>111</v>
      </c>
      <c r="AQ8" s="83">
        <v>118</v>
      </c>
      <c r="AR8" s="83">
        <v>113</v>
      </c>
      <c r="AS8" s="83">
        <v>107</v>
      </c>
      <c r="AT8" s="83">
        <v>104</v>
      </c>
      <c r="AU8" s="83">
        <v>103</v>
      </c>
      <c r="AV8" s="83">
        <v>100</v>
      </c>
      <c r="AW8" s="83">
        <v>92</v>
      </c>
    </row>
    <row r="9" spans="1:49" x14ac:dyDescent="0.15">
      <c r="A9" s="83">
        <v>20201107</v>
      </c>
      <c r="B9" s="83">
        <v>59</v>
      </c>
      <c r="C9" s="83">
        <v>44</v>
      </c>
      <c r="D9" s="83">
        <v>45</v>
      </c>
      <c r="E9" s="83">
        <v>42</v>
      </c>
      <c r="F9" s="83">
        <v>42</v>
      </c>
      <c r="G9" s="83">
        <v>45</v>
      </c>
      <c r="H9" s="83">
        <v>43</v>
      </c>
      <c r="I9" s="83">
        <v>41</v>
      </c>
      <c r="J9" s="83">
        <v>40</v>
      </c>
      <c r="K9" s="83">
        <v>40</v>
      </c>
      <c r="L9" s="83">
        <v>67</v>
      </c>
      <c r="M9" s="83">
        <v>63</v>
      </c>
      <c r="N9" s="83">
        <v>87</v>
      </c>
      <c r="O9" s="83">
        <v>100</v>
      </c>
      <c r="P9" s="83">
        <v>108</v>
      </c>
      <c r="Q9" s="83">
        <v>113</v>
      </c>
      <c r="R9" s="83">
        <v>114</v>
      </c>
      <c r="S9" s="83">
        <v>125</v>
      </c>
      <c r="T9" s="83">
        <v>137</v>
      </c>
      <c r="U9" s="83">
        <v>128</v>
      </c>
      <c r="V9" s="83">
        <v>122</v>
      </c>
      <c r="W9" s="83">
        <v>125</v>
      </c>
      <c r="X9" s="83">
        <v>118</v>
      </c>
      <c r="Y9" s="83">
        <v>123</v>
      </c>
      <c r="Z9" s="83">
        <v>124</v>
      </c>
      <c r="AA9" s="83">
        <v>126</v>
      </c>
      <c r="AB9" s="83">
        <v>120</v>
      </c>
      <c r="AC9" s="83">
        <v>119</v>
      </c>
      <c r="AD9" s="83">
        <v>119</v>
      </c>
      <c r="AE9" s="83">
        <v>122</v>
      </c>
      <c r="AF9" s="83">
        <v>120</v>
      </c>
      <c r="AG9" s="83">
        <v>121</v>
      </c>
      <c r="AH9" s="83">
        <v>123</v>
      </c>
      <c r="AI9" s="83">
        <v>116</v>
      </c>
      <c r="AJ9" s="83">
        <v>113</v>
      </c>
      <c r="AK9" s="83">
        <v>110</v>
      </c>
      <c r="AL9" s="83">
        <v>104</v>
      </c>
      <c r="AM9" s="83">
        <v>111</v>
      </c>
      <c r="AN9" s="83">
        <v>107</v>
      </c>
      <c r="AO9" s="83">
        <v>111</v>
      </c>
      <c r="AP9" s="83">
        <v>112</v>
      </c>
      <c r="AQ9" s="83">
        <v>118</v>
      </c>
      <c r="AR9" s="83">
        <v>115</v>
      </c>
      <c r="AS9" s="83">
        <v>110</v>
      </c>
      <c r="AT9" s="83">
        <v>103</v>
      </c>
      <c r="AU9" s="83">
        <v>104</v>
      </c>
      <c r="AV9" s="83">
        <v>101</v>
      </c>
      <c r="AW9" s="83">
        <v>102</v>
      </c>
    </row>
    <row r="10" spans="1:49" x14ac:dyDescent="0.15">
      <c r="A10" s="83">
        <v>20201108</v>
      </c>
      <c r="B10" s="83">
        <v>73</v>
      </c>
      <c r="C10" s="83">
        <v>57</v>
      </c>
      <c r="D10" s="83">
        <v>57</v>
      </c>
      <c r="E10" s="83">
        <v>54</v>
      </c>
      <c r="F10" s="83">
        <v>54</v>
      </c>
      <c r="G10" s="83">
        <v>59</v>
      </c>
      <c r="H10" s="83">
        <v>58</v>
      </c>
      <c r="I10" s="83">
        <v>47</v>
      </c>
      <c r="J10" s="83">
        <v>43</v>
      </c>
      <c r="K10" s="83">
        <v>43</v>
      </c>
      <c r="L10" s="83">
        <v>45</v>
      </c>
      <c r="M10" s="83">
        <v>61</v>
      </c>
      <c r="N10" s="83">
        <v>107</v>
      </c>
      <c r="O10" s="83">
        <v>95</v>
      </c>
      <c r="P10" s="83">
        <v>110</v>
      </c>
      <c r="Q10" s="83">
        <v>115</v>
      </c>
      <c r="R10" s="83">
        <v>122</v>
      </c>
      <c r="S10" s="83">
        <v>129</v>
      </c>
      <c r="T10" s="83">
        <v>138</v>
      </c>
      <c r="U10" s="83">
        <v>133</v>
      </c>
      <c r="V10" s="83">
        <v>130</v>
      </c>
      <c r="W10" s="83">
        <v>125</v>
      </c>
      <c r="X10" s="83">
        <v>132</v>
      </c>
      <c r="Y10" s="83">
        <v>130</v>
      </c>
      <c r="Z10" s="83">
        <v>126</v>
      </c>
      <c r="AA10" s="83">
        <v>133</v>
      </c>
      <c r="AB10" s="83">
        <v>129</v>
      </c>
      <c r="AC10" s="83">
        <v>125</v>
      </c>
      <c r="AD10" s="83">
        <v>119</v>
      </c>
      <c r="AE10" s="83">
        <v>132</v>
      </c>
      <c r="AF10" s="83">
        <v>124</v>
      </c>
      <c r="AG10" s="83">
        <v>124</v>
      </c>
      <c r="AH10" s="83">
        <v>122</v>
      </c>
      <c r="AI10" s="83">
        <v>124</v>
      </c>
      <c r="AJ10" s="83">
        <v>120</v>
      </c>
      <c r="AK10" s="83">
        <v>115</v>
      </c>
      <c r="AL10" s="83">
        <v>107</v>
      </c>
      <c r="AM10" s="83">
        <v>115</v>
      </c>
      <c r="AN10" s="83">
        <v>106</v>
      </c>
      <c r="AO10" s="83">
        <v>111</v>
      </c>
      <c r="AP10" s="83">
        <v>106</v>
      </c>
      <c r="AQ10" s="83">
        <v>114</v>
      </c>
      <c r="AR10" s="83">
        <v>110</v>
      </c>
      <c r="AS10" s="83">
        <v>107</v>
      </c>
      <c r="AT10" s="83">
        <v>101</v>
      </c>
      <c r="AU10" s="83">
        <v>102</v>
      </c>
      <c r="AV10" s="83">
        <v>98</v>
      </c>
      <c r="AW10" s="83">
        <v>98</v>
      </c>
    </row>
    <row r="11" spans="1:49" x14ac:dyDescent="0.15">
      <c r="A11" s="83">
        <v>20201109</v>
      </c>
      <c r="B11" s="83">
        <v>60</v>
      </c>
      <c r="C11" s="83">
        <v>43</v>
      </c>
      <c r="D11" s="83">
        <v>42</v>
      </c>
      <c r="E11" s="83">
        <v>39</v>
      </c>
      <c r="F11" s="83">
        <v>39</v>
      </c>
      <c r="G11" s="83">
        <v>44</v>
      </c>
      <c r="H11" s="83">
        <v>42</v>
      </c>
      <c r="I11" s="83">
        <v>39</v>
      </c>
      <c r="J11" s="83">
        <v>37</v>
      </c>
      <c r="K11" s="83">
        <v>37</v>
      </c>
      <c r="L11" s="83">
        <v>39</v>
      </c>
      <c r="M11" s="83">
        <v>51</v>
      </c>
      <c r="N11" s="83">
        <v>89</v>
      </c>
      <c r="O11" s="83">
        <v>75</v>
      </c>
      <c r="P11" s="83">
        <v>87</v>
      </c>
      <c r="Q11" s="83">
        <v>97</v>
      </c>
      <c r="R11" s="83">
        <v>99</v>
      </c>
      <c r="S11" s="83">
        <v>114</v>
      </c>
      <c r="T11" s="83">
        <v>116</v>
      </c>
      <c r="U11" s="83">
        <v>119</v>
      </c>
      <c r="V11" s="83">
        <v>111</v>
      </c>
      <c r="W11" s="83">
        <v>112</v>
      </c>
      <c r="X11" s="83">
        <v>114</v>
      </c>
      <c r="Y11" s="83">
        <v>110</v>
      </c>
      <c r="Z11" s="83">
        <v>112</v>
      </c>
      <c r="AA11" s="83">
        <v>116</v>
      </c>
      <c r="AB11" s="83">
        <v>109</v>
      </c>
      <c r="AC11" s="83">
        <v>106</v>
      </c>
      <c r="AD11" s="83">
        <v>101</v>
      </c>
      <c r="AE11" s="83">
        <v>111</v>
      </c>
      <c r="AF11" s="83">
        <v>105</v>
      </c>
      <c r="AG11" s="83">
        <v>110</v>
      </c>
      <c r="AH11" s="83">
        <v>103</v>
      </c>
      <c r="AI11" s="83">
        <v>101</v>
      </c>
      <c r="AJ11" s="83">
        <v>100</v>
      </c>
      <c r="AK11" s="83">
        <v>96</v>
      </c>
      <c r="AL11" s="83">
        <v>99</v>
      </c>
      <c r="AM11" s="83">
        <v>106</v>
      </c>
      <c r="AN11" s="83">
        <v>103</v>
      </c>
      <c r="AO11" s="83">
        <v>100</v>
      </c>
      <c r="AP11" s="83">
        <v>95</v>
      </c>
      <c r="AQ11" s="83">
        <v>100</v>
      </c>
      <c r="AR11" s="83">
        <v>98</v>
      </c>
      <c r="AS11" s="83">
        <v>92</v>
      </c>
      <c r="AT11" s="83">
        <v>91</v>
      </c>
      <c r="AU11" s="83">
        <v>87</v>
      </c>
      <c r="AV11" s="83">
        <v>88</v>
      </c>
      <c r="AW11" s="83">
        <v>80</v>
      </c>
    </row>
    <row r="12" spans="1:49" x14ac:dyDescent="0.15">
      <c r="A12" s="83">
        <v>20201110</v>
      </c>
      <c r="B12" s="83">
        <v>53</v>
      </c>
      <c r="C12" s="83">
        <v>40</v>
      </c>
      <c r="D12" s="83">
        <v>39</v>
      </c>
      <c r="E12" s="83">
        <v>36</v>
      </c>
      <c r="F12" s="83">
        <v>37</v>
      </c>
      <c r="G12" s="83">
        <v>41</v>
      </c>
      <c r="H12" s="83">
        <v>39</v>
      </c>
      <c r="I12" s="83">
        <v>38</v>
      </c>
      <c r="J12" s="83">
        <v>34</v>
      </c>
      <c r="K12" s="83">
        <v>36</v>
      </c>
      <c r="L12" s="83">
        <v>37</v>
      </c>
      <c r="M12" s="83">
        <v>48</v>
      </c>
      <c r="N12" s="83">
        <v>90</v>
      </c>
      <c r="O12" s="83">
        <v>91</v>
      </c>
      <c r="P12" s="83">
        <v>102</v>
      </c>
      <c r="Q12" s="83">
        <v>102</v>
      </c>
      <c r="R12" s="83">
        <v>106</v>
      </c>
      <c r="S12" s="83">
        <v>121</v>
      </c>
      <c r="T12" s="83">
        <v>122</v>
      </c>
      <c r="U12" s="83">
        <v>121</v>
      </c>
      <c r="V12" s="83">
        <v>125</v>
      </c>
      <c r="W12" s="83">
        <v>115</v>
      </c>
      <c r="X12" s="83">
        <v>123</v>
      </c>
      <c r="Y12" s="83">
        <v>117</v>
      </c>
      <c r="Z12" s="83">
        <v>120</v>
      </c>
      <c r="AA12" s="83">
        <v>129</v>
      </c>
      <c r="AB12" s="83">
        <v>117</v>
      </c>
      <c r="AC12" s="83">
        <v>118</v>
      </c>
      <c r="AD12" s="83">
        <v>120</v>
      </c>
      <c r="AE12" s="83">
        <v>119</v>
      </c>
      <c r="AF12" s="83">
        <v>117</v>
      </c>
      <c r="AG12" s="83">
        <v>114</v>
      </c>
      <c r="AH12" s="83">
        <v>112</v>
      </c>
      <c r="AI12" s="83">
        <v>111</v>
      </c>
      <c r="AJ12" s="83">
        <v>110</v>
      </c>
      <c r="AK12" s="83">
        <v>108</v>
      </c>
      <c r="AL12" s="83">
        <v>108</v>
      </c>
      <c r="AM12" s="83">
        <v>112</v>
      </c>
      <c r="AN12" s="83">
        <v>114</v>
      </c>
      <c r="AO12" s="83">
        <v>107</v>
      </c>
      <c r="AP12" s="83">
        <v>103</v>
      </c>
      <c r="AQ12" s="83">
        <v>106</v>
      </c>
      <c r="AR12" s="83">
        <v>103</v>
      </c>
      <c r="AS12" s="83">
        <v>100</v>
      </c>
      <c r="AT12" s="83">
        <v>97</v>
      </c>
      <c r="AU12" s="83">
        <v>95</v>
      </c>
      <c r="AV12" s="83">
        <v>94</v>
      </c>
      <c r="AW12" s="83">
        <v>94</v>
      </c>
    </row>
    <row r="13" spans="1:49" x14ac:dyDescent="0.15">
      <c r="A13" s="83">
        <v>20201111</v>
      </c>
      <c r="B13" s="83">
        <v>58</v>
      </c>
      <c r="C13" s="83">
        <v>41</v>
      </c>
      <c r="D13" s="83">
        <v>40</v>
      </c>
      <c r="E13" s="83">
        <v>36</v>
      </c>
      <c r="F13" s="83">
        <v>37</v>
      </c>
      <c r="G13" s="83">
        <v>40</v>
      </c>
      <c r="H13" s="83">
        <v>40</v>
      </c>
      <c r="I13" s="83">
        <v>38</v>
      </c>
      <c r="J13" s="83">
        <v>35</v>
      </c>
      <c r="K13" s="83">
        <v>37</v>
      </c>
      <c r="L13" s="83">
        <v>37</v>
      </c>
      <c r="M13" s="83">
        <v>50</v>
      </c>
      <c r="N13" s="83">
        <v>93</v>
      </c>
      <c r="O13" s="83">
        <v>88</v>
      </c>
      <c r="P13" s="83">
        <v>106</v>
      </c>
      <c r="Q13" s="83">
        <v>110</v>
      </c>
      <c r="R13" s="83">
        <v>109</v>
      </c>
      <c r="S13" s="83">
        <v>122</v>
      </c>
      <c r="T13" s="83">
        <v>119</v>
      </c>
      <c r="U13" s="83">
        <v>121</v>
      </c>
      <c r="V13" s="83">
        <v>115</v>
      </c>
      <c r="W13" s="83">
        <v>114</v>
      </c>
      <c r="X13" s="83">
        <v>116</v>
      </c>
      <c r="Y13" s="83">
        <v>118</v>
      </c>
      <c r="Z13" s="83">
        <v>117</v>
      </c>
      <c r="AA13" s="83">
        <v>115</v>
      </c>
      <c r="AB13" s="83">
        <v>113</v>
      </c>
      <c r="AC13" s="83">
        <v>112</v>
      </c>
      <c r="AD13" s="83">
        <v>108</v>
      </c>
      <c r="AE13" s="83">
        <v>121</v>
      </c>
      <c r="AF13" s="83">
        <v>112</v>
      </c>
      <c r="AG13" s="83">
        <v>110</v>
      </c>
      <c r="AH13" s="83">
        <v>108</v>
      </c>
      <c r="AI13" s="83">
        <v>106</v>
      </c>
      <c r="AJ13" s="83">
        <v>109</v>
      </c>
      <c r="AK13" s="83">
        <v>100</v>
      </c>
      <c r="AL13" s="83">
        <v>95</v>
      </c>
      <c r="AM13" s="83">
        <v>101</v>
      </c>
      <c r="AN13" s="83">
        <v>101</v>
      </c>
      <c r="AO13" s="83">
        <v>104</v>
      </c>
      <c r="AP13" s="83">
        <v>100</v>
      </c>
      <c r="AQ13" s="83">
        <v>113</v>
      </c>
      <c r="AR13" s="83">
        <v>101</v>
      </c>
      <c r="AS13" s="83">
        <v>97</v>
      </c>
      <c r="AT13" s="83">
        <v>93</v>
      </c>
      <c r="AU13" s="83">
        <v>93</v>
      </c>
      <c r="AV13" s="83">
        <v>91</v>
      </c>
      <c r="AW13" s="83">
        <v>90</v>
      </c>
    </row>
    <row r="14" spans="1:49" x14ac:dyDescent="0.15">
      <c r="A14" s="83">
        <v>20201112</v>
      </c>
      <c r="B14" s="83">
        <v>60</v>
      </c>
      <c r="C14" s="83">
        <v>40</v>
      </c>
      <c r="D14" s="83">
        <v>39</v>
      </c>
      <c r="E14" s="83">
        <v>34</v>
      </c>
      <c r="F14" s="83">
        <v>36</v>
      </c>
      <c r="G14" s="83">
        <v>39</v>
      </c>
      <c r="H14" s="83">
        <v>38</v>
      </c>
      <c r="I14" s="83">
        <v>35</v>
      </c>
      <c r="J14" s="83">
        <v>35</v>
      </c>
      <c r="K14" s="83">
        <v>34</v>
      </c>
      <c r="L14" s="83">
        <v>36</v>
      </c>
      <c r="M14" s="83">
        <v>49</v>
      </c>
      <c r="N14" s="83">
        <v>103</v>
      </c>
      <c r="O14" s="83">
        <v>87</v>
      </c>
      <c r="P14" s="83">
        <v>101</v>
      </c>
      <c r="Q14" s="83">
        <v>111</v>
      </c>
      <c r="R14" s="83">
        <v>115</v>
      </c>
      <c r="S14" s="83">
        <v>120</v>
      </c>
      <c r="T14" s="83">
        <v>129</v>
      </c>
      <c r="U14" s="83">
        <v>125</v>
      </c>
      <c r="V14" s="83">
        <v>119</v>
      </c>
      <c r="W14" s="83">
        <v>123</v>
      </c>
      <c r="X14" s="83">
        <v>123</v>
      </c>
      <c r="Y14" s="83">
        <v>123</v>
      </c>
      <c r="Z14" s="83">
        <v>123</v>
      </c>
      <c r="AA14" s="83">
        <v>129</v>
      </c>
      <c r="AB14" s="83">
        <v>124</v>
      </c>
      <c r="AC14" s="83">
        <v>128</v>
      </c>
      <c r="AD14" s="83">
        <v>116</v>
      </c>
      <c r="AE14" s="83">
        <v>128</v>
      </c>
      <c r="AF14" s="83">
        <v>123</v>
      </c>
      <c r="AG14" s="83">
        <v>117</v>
      </c>
      <c r="AH14" s="83">
        <v>117</v>
      </c>
      <c r="AI14" s="83">
        <v>114</v>
      </c>
      <c r="AJ14" s="83">
        <v>112</v>
      </c>
      <c r="AK14" s="83">
        <v>109</v>
      </c>
      <c r="AL14" s="83">
        <v>102</v>
      </c>
      <c r="AM14" s="83">
        <v>109</v>
      </c>
      <c r="AN14" s="83">
        <v>107</v>
      </c>
      <c r="AO14" s="83">
        <v>109</v>
      </c>
      <c r="AP14" s="83">
        <v>109</v>
      </c>
      <c r="AQ14" s="83">
        <v>112</v>
      </c>
      <c r="AR14" s="83">
        <v>111</v>
      </c>
      <c r="AS14" s="83">
        <v>103</v>
      </c>
      <c r="AT14" s="83">
        <v>99</v>
      </c>
      <c r="AU14" s="83">
        <v>96</v>
      </c>
      <c r="AV14" s="83">
        <v>97</v>
      </c>
      <c r="AW14" s="83">
        <v>84</v>
      </c>
    </row>
    <row r="15" spans="1:49" x14ac:dyDescent="0.15">
      <c r="A15" s="83">
        <v>20201113</v>
      </c>
      <c r="B15" s="83">
        <v>54</v>
      </c>
      <c r="C15" s="83">
        <v>41</v>
      </c>
      <c r="D15" s="83">
        <v>40</v>
      </c>
      <c r="E15" s="83">
        <v>35</v>
      </c>
      <c r="F15" s="83">
        <v>37</v>
      </c>
      <c r="G15" s="83">
        <v>40</v>
      </c>
      <c r="H15" s="83">
        <v>38</v>
      </c>
      <c r="I15" s="83">
        <v>37</v>
      </c>
      <c r="J15" s="83">
        <v>35</v>
      </c>
      <c r="K15" s="83">
        <v>35</v>
      </c>
      <c r="L15" s="83">
        <v>37</v>
      </c>
      <c r="M15" s="83">
        <v>48</v>
      </c>
      <c r="N15" s="83">
        <v>102</v>
      </c>
      <c r="O15" s="83">
        <v>87</v>
      </c>
      <c r="P15" s="83">
        <v>104</v>
      </c>
      <c r="Q15" s="83">
        <v>110</v>
      </c>
      <c r="R15" s="83">
        <v>109</v>
      </c>
      <c r="S15" s="83">
        <v>124</v>
      </c>
      <c r="T15" s="83">
        <v>126</v>
      </c>
      <c r="U15" s="83">
        <v>124</v>
      </c>
      <c r="V15" s="83">
        <v>123</v>
      </c>
      <c r="W15" s="83">
        <v>123</v>
      </c>
      <c r="X15" s="83">
        <v>125</v>
      </c>
      <c r="Y15" s="83">
        <v>123</v>
      </c>
      <c r="Z15" s="83">
        <v>123</v>
      </c>
      <c r="AA15" s="83">
        <v>130</v>
      </c>
      <c r="AB15" s="83">
        <v>126</v>
      </c>
      <c r="AC15" s="83">
        <v>125</v>
      </c>
      <c r="AD15" s="83">
        <v>117</v>
      </c>
      <c r="AE15" s="83">
        <v>130</v>
      </c>
      <c r="AF15" s="83">
        <v>123</v>
      </c>
      <c r="AG15" s="83">
        <v>122</v>
      </c>
      <c r="AH15" s="83">
        <v>119</v>
      </c>
      <c r="AI15" s="83">
        <v>117</v>
      </c>
      <c r="AJ15" s="83">
        <v>118</v>
      </c>
      <c r="AK15" s="83">
        <v>115</v>
      </c>
      <c r="AL15" s="83">
        <v>111</v>
      </c>
      <c r="AM15" s="83">
        <v>118</v>
      </c>
      <c r="AN15" s="83">
        <v>115</v>
      </c>
      <c r="AO15" s="83">
        <v>113</v>
      </c>
      <c r="AP15" s="83">
        <v>110</v>
      </c>
      <c r="AQ15" s="83">
        <v>120</v>
      </c>
      <c r="AR15" s="83">
        <v>114</v>
      </c>
      <c r="AS15" s="83">
        <v>108</v>
      </c>
      <c r="AT15" s="83">
        <v>106</v>
      </c>
      <c r="AU15" s="83">
        <v>103</v>
      </c>
      <c r="AV15" s="83">
        <v>101</v>
      </c>
      <c r="AW15" s="83">
        <v>87</v>
      </c>
    </row>
    <row r="16" spans="1:49" x14ac:dyDescent="0.15">
      <c r="A16" s="83">
        <v>20201114</v>
      </c>
      <c r="B16" s="83">
        <v>60</v>
      </c>
      <c r="C16" s="83">
        <v>43</v>
      </c>
      <c r="D16" s="83">
        <v>43</v>
      </c>
      <c r="E16" s="83">
        <v>40</v>
      </c>
      <c r="F16" s="83">
        <v>40</v>
      </c>
      <c r="G16" s="83">
        <v>45</v>
      </c>
      <c r="H16" s="83">
        <v>42</v>
      </c>
      <c r="I16" s="83">
        <v>41</v>
      </c>
      <c r="J16" s="83">
        <v>39</v>
      </c>
      <c r="K16" s="83">
        <v>37</v>
      </c>
      <c r="L16" s="83">
        <v>38</v>
      </c>
      <c r="M16" s="83">
        <v>51</v>
      </c>
      <c r="N16" s="83">
        <v>108</v>
      </c>
      <c r="O16" s="83">
        <v>95</v>
      </c>
      <c r="P16" s="83">
        <v>119</v>
      </c>
      <c r="Q16" s="83">
        <v>111</v>
      </c>
      <c r="R16" s="83">
        <v>116</v>
      </c>
      <c r="S16" s="83">
        <v>134</v>
      </c>
      <c r="T16" s="83">
        <v>136</v>
      </c>
      <c r="U16" s="83">
        <v>131</v>
      </c>
      <c r="V16" s="83">
        <v>124</v>
      </c>
      <c r="W16" s="83">
        <v>125</v>
      </c>
      <c r="X16" s="83">
        <v>126</v>
      </c>
      <c r="Y16" s="83">
        <v>125</v>
      </c>
      <c r="Z16" s="83">
        <v>124</v>
      </c>
      <c r="AA16" s="83">
        <v>128</v>
      </c>
      <c r="AB16" s="83">
        <v>128</v>
      </c>
      <c r="AC16" s="83">
        <v>121</v>
      </c>
      <c r="AD16" s="83">
        <v>115</v>
      </c>
      <c r="AE16" s="83">
        <v>126</v>
      </c>
      <c r="AF16" s="83">
        <v>129</v>
      </c>
      <c r="AG16" s="83">
        <v>121</v>
      </c>
      <c r="AH16" s="83">
        <v>117</v>
      </c>
      <c r="AI16" s="83">
        <v>117</v>
      </c>
      <c r="AJ16" s="83">
        <v>113</v>
      </c>
      <c r="AK16" s="83">
        <v>114</v>
      </c>
      <c r="AL16" s="83">
        <v>106</v>
      </c>
      <c r="AM16" s="83">
        <v>113</v>
      </c>
      <c r="AN16" s="83">
        <v>103</v>
      </c>
      <c r="AO16" s="83">
        <v>111</v>
      </c>
      <c r="AP16" s="83">
        <v>102</v>
      </c>
      <c r="AQ16" s="83">
        <v>110</v>
      </c>
      <c r="AR16" s="83">
        <v>106</v>
      </c>
      <c r="AS16" s="83">
        <v>103</v>
      </c>
      <c r="AT16" s="83">
        <v>98</v>
      </c>
      <c r="AU16" s="83">
        <v>99</v>
      </c>
      <c r="AV16" s="83">
        <v>94</v>
      </c>
      <c r="AW16" s="83">
        <v>88</v>
      </c>
    </row>
    <row r="17" spans="1:51" x14ac:dyDescent="0.15">
      <c r="A17" s="83">
        <v>20201115</v>
      </c>
      <c r="B17" s="83">
        <v>54</v>
      </c>
      <c r="C17" s="83">
        <v>41</v>
      </c>
      <c r="D17" s="83">
        <v>39</v>
      </c>
      <c r="E17" s="83">
        <v>36</v>
      </c>
      <c r="F17" s="83">
        <v>37</v>
      </c>
      <c r="G17" s="83">
        <v>40</v>
      </c>
      <c r="H17" s="83">
        <v>40</v>
      </c>
      <c r="I17" s="83">
        <v>38</v>
      </c>
      <c r="J17" s="83">
        <v>33</v>
      </c>
      <c r="K17" s="83">
        <v>34</v>
      </c>
      <c r="L17" s="83">
        <v>37</v>
      </c>
      <c r="M17" s="83">
        <v>51</v>
      </c>
      <c r="N17" s="83">
        <v>101</v>
      </c>
      <c r="O17" s="83">
        <v>93</v>
      </c>
      <c r="P17" s="83">
        <v>109</v>
      </c>
      <c r="Q17" s="83">
        <v>111</v>
      </c>
      <c r="R17" s="83">
        <v>116</v>
      </c>
      <c r="S17" s="83">
        <v>123</v>
      </c>
      <c r="T17" s="83">
        <v>127</v>
      </c>
      <c r="U17" s="83">
        <v>129</v>
      </c>
      <c r="V17" s="83">
        <v>120</v>
      </c>
      <c r="W17" s="83">
        <v>125</v>
      </c>
      <c r="X17" s="83">
        <v>126</v>
      </c>
      <c r="Y17" s="83">
        <v>128</v>
      </c>
      <c r="Z17" s="83">
        <v>122</v>
      </c>
      <c r="AA17" s="83">
        <v>131</v>
      </c>
      <c r="AB17" s="83">
        <v>128</v>
      </c>
      <c r="AC17" s="83">
        <v>130</v>
      </c>
      <c r="AD17" s="83">
        <v>122</v>
      </c>
      <c r="AE17" s="83">
        <v>126</v>
      </c>
      <c r="AF17" s="83">
        <v>126</v>
      </c>
      <c r="AG17" s="83">
        <v>127</v>
      </c>
      <c r="AH17" s="83">
        <v>118</v>
      </c>
      <c r="AI17" s="83">
        <v>119</v>
      </c>
      <c r="AJ17" s="83">
        <v>116</v>
      </c>
      <c r="AK17" s="83">
        <v>111</v>
      </c>
      <c r="AL17" s="83">
        <v>109</v>
      </c>
      <c r="AM17" s="83">
        <v>118</v>
      </c>
      <c r="AN17" s="83">
        <v>110</v>
      </c>
      <c r="AO17" s="83">
        <v>113</v>
      </c>
      <c r="AP17" s="83">
        <v>109</v>
      </c>
      <c r="AQ17" s="83">
        <v>114</v>
      </c>
      <c r="AR17" s="83">
        <v>110</v>
      </c>
      <c r="AS17" s="83">
        <v>104</v>
      </c>
      <c r="AT17" s="83">
        <v>102</v>
      </c>
      <c r="AU17" s="83">
        <v>100</v>
      </c>
      <c r="AV17" s="83">
        <v>96</v>
      </c>
      <c r="AW17" s="83">
        <v>91</v>
      </c>
    </row>
    <row r="18" spans="1:51" x14ac:dyDescent="0.15">
      <c r="A18" s="83">
        <v>20201116</v>
      </c>
      <c r="B18" s="83">
        <v>59</v>
      </c>
      <c r="C18" s="83">
        <v>41</v>
      </c>
      <c r="D18" s="83">
        <v>43</v>
      </c>
      <c r="E18" s="83">
        <v>40</v>
      </c>
      <c r="F18" s="83">
        <v>38</v>
      </c>
      <c r="G18" s="83">
        <v>44</v>
      </c>
      <c r="H18" s="83">
        <v>42</v>
      </c>
      <c r="I18" s="83">
        <v>40</v>
      </c>
      <c r="J18" s="83">
        <v>37</v>
      </c>
      <c r="K18" s="83">
        <v>37</v>
      </c>
      <c r="L18" s="83">
        <v>37</v>
      </c>
      <c r="M18" s="83">
        <v>51</v>
      </c>
      <c r="N18" s="83">
        <v>95</v>
      </c>
      <c r="O18" s="83">
        <v>98</v>
      </c>
      <c r="P18" s="83">
        <v>106</v>
      </c>
      <c r="Q18" s="83">
        <v>122</v>
      </c>
      <c r="R18" s="83">
        <v>113</v>
      </c>
      <c r="S18" s="83">
        <v>131</v>
      </c>
      <c r="T18" s="83">
        <v>133</v>
      </c>
      <c r="U18" s="83">
        <v>131</v>
      </c>
      <c r="V18" s="83">
        <v>122</v>
      </c>
      <c r="W18" s="83">
        <v>124</v>
      </c>
      <c r="X18" s="83">
        <v>129</v>
      </c>
      <c r="Y18" s="83">
        <v>126</v>
      </c>
      <c r="Z18" s="83">
        <v>124</v>
      </c>
      <c r="AA18" s="83">
        <v>131</v>
      </c>
      <c r="AB18" s="83">
        <v>121</v>
      </c>
      <c r="AC18" s="83">
        <v>121</v>
      </c>
      <c r="AD18" s="83">
        <v>116</v>
      </c>
      <c r="AE18" s="83">
        <v>127</v>
      </c>
      <c r="AF18" s="83">
        <v>124</v>
      </c>
      <c r="AG18" s="83">
        <v>119</v>
      </c>
      <c r="AH18" s="83">
        <v>115</v>
      </c>
      <c r="AI18" s="83">
        <v>119</v>
      </c>
      <c r="AJ18" s="83">
        <v>114</v>
      </c>
      <c r="AK18" s="83">
        <v>117</v>
      </c>
      <c r="AL18" s="83">
        <v>111</v>
      </c>
      <c r="AM18" s="83">
        <v>117</v>
      </c>
      <c r="AN18" s="83">
        <v>111</v>
      </c>
      <c r="AO18" s="83">
        <v>114</v>
      </c>
      <c r="AP18" s="83">
        <v>112</v>
      </c>
      <c r="AQ18" s="83">
        <v>116</v>
      </c>
      <c r="AR18" s="83">
        <v>114</v>
      </c>
      <c r="AS18" s="83">
        <v>109</v>
      </c>
      <c r="AT18" s="83">
        <v>107</v>
      </c>
      <c r="AU18" s="83">
        <v>102</v>
      </c>
      <c r="AV18" s="83">
        <v>101</v>
      </c>
      <c r="AW18" s="83">
        <v>90</v>
      </c>
    </row>
    <row r="19" spans="1:51" x14ac:dyDescent="0.15">
      <c r="A19" s="83">
        <v>20201117</v>
      </c>
      <c r="B19" s="83">
        <v>58</v>
      </c>
      <c r="C19" s="83">
        <v>43</v>
      </c>
      <c r="D19" s="83">
        <v>43</v>
      </c>
      <c r="E19" s="83">
        <v>39</v>
      </c>
      <c r="F19" s="83">
        <v>40</v>
      </c>
      <c r="G19" s="83">
        <v>43</v>
      </c>
      <c r="H19" s="83">
        <v>43</v>
      </c>
      <c r="I19" s="83">
        <v>39</v>
      </c>
      <c r="J19" s="83">
        <v>37</v>
      </c>
      <c r="K19" s="83">
        <v>36</v>
      </c>
      <c r="L19" s="83">
        <v>37</v>
      </c>
      <c r="M19" s="83">
        <v>49</v>
      </c>
      <c r="N19" s="83">
        <v>96</v>
      </c>
      <c r="O19" s="83">
        <v>89</v>
      </c>
      <c r="P19" s="83">
        <v>106</v>
      </c>
      <c r="Q19" s="83">
        <v>109</v>
      </c>
      <c r="R19" s="83">
        <v>113</v>
      </c>
      <c r="S19" s="83">
        <v>116</v>
      </c>
      <c r="T19" s="83">
        <v>124</v>
      </c>
      <c r="U19" s="83">
        <v>127</v>
      </c>
      <c r="V19" s="83">
        <v>125</v>
      </c>
      <c r="W19" s="83">
        <v>119</v>
      </c>
      <c r="X19" s="83">
        <v>119</v>
      </c>
      <c r="Y19" s="83">
        <v>118</v>
      </c>
      <c r="Z19" s="83">
        <v>120</v>
      </c>
      <c r="AA19" s="83">
        <v>128</v>
      </c>
      <c r="AB19" s="83">
        <v>119</v>
      </c>
      <c r="AC19" s="83">
        <v>117</v>
      </c>
      <c r="AD19" s="83">
        <v>115</v>
      </c>
      <c r="AE19" s="83">
        <v>127</v>
      </c>
      <c r="AF19" s="83">
        <v>121</v>
      </c>
      <c r="AG19" s="83">
        <v>114</v>
      </c>
      <c r="AH19" s="83">
        <v>114</v>
      </c>
      <c r="AI19" s="83">
        <v>114</v>
      </c>
      <c r="AJ19" s="83">
        <v>110</v>
      </c>
      <c r="AK19" s="83">
        <v>108</v>
      </c>
      <c r="AL19" s="83">
        <v>109</v>
      </c>
      <c r="AM19" s="83">
        <v>108</v>
      </c>
      <c r="AN19" s="83">
        <v>103</v>
      </c>
      <c r="AO19" s="83">
        <v>104</v>
      </c>
      <c r="AP19" s="83">
        <v>103</v>
      </c>
      <c r="AQ19" s="83">
        <v>109</v>
      </c>
      <c r="AR19" s="83">
        <v>107</v>
      </c>
      <c r="AS19" s="83">
        <v>101</v>
      </c>
      <c r="AT19" s="83">
        <v>94</v>
      </c>
      <c r="AU19" s="83">
        <v>94</v>
      </c>
      <c r="AV19" s="83">
        <v>89</v>
      </c>
      <c r="AW19" s="83">
        <v>78</v>
      </c>
    </row>
    <row r="20" spans="1:51" x14ac:dyDescent="0.15">
      <c r="A20" s="83">
        <v>20201118</v>
      </c>
      <c r="B20" s="83">
        <v>56</v>
      </c>
      <c r="C20" s="83">
        <v>42</v>
      </c>
      <c r="D20" s="83">
        <v>40</v>
      </c>
      <c r="E20" s="83">
        <v>37</v>
      </c>
      <c r="F20" s="83">
        <v>38</v>
      </c>
      <c r="G20" s="83">
        <v>41</v>
      </c>
      <c r="H20" s="83">
        <v>41</v>
      </c>
      <c r="I20" s="83">
        <v>40</v>
      </c>
      <c r="J20" s="83">
        <v>36</v>
      </c>
      <c r="K20" s="83">
        <v>37</v>
      </c>
      <c r="L20" s="83">
        <v>39</v>
      </c>
      <c r="M20" s="83">
        <v>50</v>
      </c>
      <c r="N20" s="83">
        <v>101</v>
      </c>
      <c r="O20" s="83">
        <v>99</v>
      </c>
      <c r="P20" s="83">
        <v>101</v>
      </c>
      <c r="Q20" s="83">
        <v>115</v>
      </c>
      <c r="R20" s="83">
        <v>114</v>
      </c>
      <c r="S20" s="83">
        <v>127</v>
      </c>
      <c r="T20" s="83">
        <v>131</v>
      </c>
      <c r="U20" s="83">
        <v>132</v>
      </c>
      <c r="V20" s="83">
        <v>128</v>
      </c>
      <c r="W20" s="83">
        <v>126</v>
      </c>
      <c r="X20" s="83">
        <v>131</v>
      </c>
      <c r="Y20" s="83">
        <v>128</v>
      </c>
      <c r="Z20" s="83">
        <v>128</v>
      </c>
      <c r="AA20" s="83">
        <v>140</v>
      </c>
      <c r="AB20" s="83">
        <v>136</v>
      </c>
      <c r="AC20" s="83">
        <v>132</v>
      </c>
      <c r="AD20" s="83">
        <v>128</v>
      </c>
      <c r="AE20" s="83">
        <v>138</v>
      </c>
      <c r="AF20" s="83">
        <v>135</v>
      </c>
      <c r="AG20" s="83">
        <v>129</v>
      </c>
      <c r="AH20" s="83">
        <v>119</v>
      </c>
      <c r="AI20" s="83">
        <v>119</v>
      </c>
      <c r="AJ20" s="83">
        <v>120</v>
      </c>
      <c r="AK20" s="83">
        <v>117</v>
      </c>
      <c r="AL20" s="83">
        <v>106</v>
      </c>
      <c r="AM20" s="83">
        <v>112</v>
      </c>
      <c r="AN20" s="83">
        <v>110</v>
      </c>
      <c r="AO20" s="83">
        <v>107</v>
      </c>
      <c r="AP20" s="83">
        <v>105</v>
      </c>
      <c r="AQ20" s="83">
        <v>111</v>
      </c>
      <c r="AR20" s="83">
        <v>112</v>
      </c>
      <c r="AS20" s="83">
        <v>111</v>
      </c>
      <c r="AT20" s="83">
        <v>105</v>
      </c>
      <c r="AU20" s="83">
        <v>103</v>
      </c>
      <c r="AV20" s="83">
        <v>101</v>
      </c>
      <c r="AW20" s="83">
        <v>104</v>
      </c>
    </row>
    <row r="21" spans="1:51" x14ac:dyDescent="0.15">
      <c r="A21" s="83">
        <v>20201119</v>
      </c>
      <c r="B21" s="83">
        <v>71</v>
      </c>
      <c r="C21" s="83">
        <v>50</v>
      </c>
      <c r="D21" s="83">
        <v>50</v>
      </c>
      <c r="E21" s="83">
        <v>46</v>
      </c>
      <c r="F21" s="83">
        <v>45</v>
      </c>
      <c r="G21" s="83">
        <v>49</v>
      </c>
      <c r="H21" s="83">
        <v>49</v>
      </c>
      <c r="I21" s="83">
        <v>48</v>
      </c>
      <c r="J21" s="83">
        <v>45</v>
      </c>
      <c r="K21" s="83">
        <v>44</v>
      </c>
      <c r="L21" s="83">
        <v>47</v>
      </c>
      <c r="M21" s="83">
        <v>56</v>
      </c>
      <c r="N21" s="83">
        <v>107</v>
      </c>
      <c r="O21" s="83">
        <v>99</v>
      </c>
      <c r="P21" s="83">
        <v>113</v>
      </c>
      <c r="Q21" s="83">
        <v>117</v>
      </c>
      <c r="R21" s="83">
        <v>117</v>
      </c>
      <c r="S21" s="83">
        <v>133</v>
      </c>
      <c r="T21" s="83">
        <v>140</v>
      </c>
      <c r="U21" s="83">
        <v>129</v>
      </c>
      <c r="V21" s="83">
        <v>128</v>
      </c>
      <c r="W21" s="83">
        <v>130</v>
      </c>
      <c r="X21" s="83">
        <v>133</v>
      </c>
      <c r="Y21" s="83">
        <v>137</v>
      </c>
      <c r="Z21" s="83">
        <v>133</v>
      </c>
      <c r="AA21" s="83">
        <v>139</v>
      </c>
      <c r="AB21" s="83">
        <v>132</v>
      </c>
      <c r="AC21" s="83">
        <v>136</v>
      </c>
      <c r="AD21" s="83">
        <v>126</v>
      </c>
      <c r="AE21" s="83">
        <v>146</v>
      </c>
      <c r="AF21" s="83">
        <v>138</v>
      </c>
      <c r="AG21" s="83">
        <v>136</v>
      </c>
      <c r="AH21" s="83">
        <v>129</v>
      </c>
      <c r="AI21" s="83">
        <v>130</v>
      </c>
      <c r="AJ21" s="83">
        <v>128</v>
      </c>
      <c r="AK21" s="83">
        <v>122</v>
      </c>
      <c r="AL21" s="83">
        <v>113</v>
      </c>
      <c r="AM21" s="83">
        <v>126</v>
      </c>
      <c r="AN21" s="83">
        <v>123</v>
      </c>
      <c r="AO21" s="83">
        <v>120</v>
      </c>
      <c r="AP21" s="83">
        <v>119</v>
      </c>
      <c r="AQ21" s="83">
        <v>123</v>
      </c>
      <c r="AR21" s="83">
        <v>119</v>
      </c>
      <c r="AS21" s="83">
        <v>119</v>
      </c>
      <c r="AT21" s="83">
        <v>111</v>
      </c>
      <c r="AU21" s="83">
        <v>105</v>
      </c>
      <c r="AV21" s="83">
        <v>94</v>
      </c>
      <c r="AW21" s="83">
        <v>94</v>
      </c>
      <c r="AX21" s="74">
        <v>22.344000000000001</v>
      </c>
      <c r="AY21" s="74">
        <v>22.908000000000001</v>
      </c>
    </row>
    <row r="22" spans="1:51" x14ac:dyDescent="0.15">
      <c r="A22" s="83">
        <v>20201120</v>
      </c>
      <c r="B22" s="83">
        <v>64</v>
      </c>
      <c r="C22" s="83">
        <v>49</v>
      </c>
      <c r="D22" s="83">
        <v>49</v>
      </c>
      <c r="E22" s="83">
        <v>47</v>
      </c>
      <c r="F22" s="83">
        <v>46</v>
      </c>
      <c r="G22" s="83">
        <v>51</v>
      </c>
      <c r="H22" s="83">
        <v>50</v>
      </c>
      <c r="I22" s="83">
        <v>49</v>
      </c>
      <c r="J22" s="83">
        <v>45</v>
      </c>
      <c r="K22" s="83">
        <v>44</v>
      </c>
      <c r="L22" s="83">
        <v>47</v>
      </c>
      <c r="M22" s="83">
        <v>57</v>
      </c>
      <c r="N22" s="83">
        <v>110</v>
      </c>
      <c r="O22" s="83">
        <v>107</v>
      </c>
      <c r="P22" s="83">
        <v>109</v>
      </c>
      <c r="Q22" s="83">
        <v>114</v>
      </c>
      <c r="R22" s="83">
        <v>121</v>
      </c>
      <c r="S22" s="83">
        <v>136</v>
      </c>
      <c r="T22" s="83">
        <v>140</v>
      </c>
      <c r="U22" s="83">
        <v>130</v>
      </c>
      <c r="V22" s="83">
        <v>127</v>
      </c>
      <c r="W22" s="83">
        <v>132</v>
      </c>
      <c r="X22" s="83">
        <v>138</v>
      </c>
      <c r="Y22" s="83">
        <v>139</v>
      </c>
      <c r="Z22" s="83">
        <v>122</v>
      </c>
      <c r="AA22" s="83">
        <v>131</v>
      </c>
      <c r="AB22" s="83">
        <v>129</v>
      </c>
      <c r="AC22" s="83">
        <v>122</v>
      </c>
      <c r="AD22" s="83">
        <v>111</v>
      </c>
      <c r="AE22" s="83">
        <v>129</v>
      </c>
      <c r="AF22" s="83">
        <v>119</v>
      </c>
      <c r="AG22" s="83">
        <v>123</v>
      </c>
      <c r="AH22" s="83">
        <v>120</v>
      </c>
      <c r="AI22" s="83">
        <v>118</v>
      </c>
      <c r="AJ22" s="83">
        <v>117</v>
      </c>
      <c r="AK22" s="83">
        <v>117</v>
      </c>
      <c r="AL22" s="83">
        <v>113</v>
      </c>
      <c r="AM22" s="83">
        <v>122</v>
      </c>
      <c r="AN22" s="83">
        <v>113</v>
      </c>
      <c r="AO22" s="83">
        <v>115</v>
      </c>
      <c r="AP22" s="83">
        <v>107</v>
      </c>
      <c r="AQ22" s="83">
        <v>116</v>
      </c>
      <c r="AR22" s="83">
        <v>112</v>
      </c>
      <c r="AS22" s="83">
        <v>111</v>
      </c>
      <c r="AT22" s="83">
        <v>106</v>
      </c>
      <c r="AU22" s="83">
        <v>103</v>
      </c>
      <c r="AV22" s="83">
        <v>103</v>
      </c>
      <c r="AW22" s="83">
        <v>91</v>
      </c>
    </row>
    <row r="23" spans="1:51" x14ac:dyDescent="0.15">
      <c r="A23" s="83">
        <v>20201121</v>
      </c>
      <c r="B23" s="83">
        <v>66</v>
      </c>
      <c r="C23" s="83">
        <v>47</v>
      </c>
      <c r="D23" s="83">
        <v>47</v>
      </c>
      <c r="E23" s="83">
        <v>44</v>
      </c>
      <c r="F23" s="83">
        <v>41</v>
      </c>
      <c r="G23" s="83">
        <v>48</v>
      </c>
      <c r="H23" s="83">
        <v>46</v>
      </c>
      <c r="I23" s="83">
        <v>46</v>
      </c>
      <c r="J23" s="83">
        <v>41</v>
      </c>
      <c r="K23" s="83">
        <v>43</v>
      </c>
      <c r="L23" s="83">
        <v>44</v>
      </c>
      <c r="M23" s="83">
        <v>65</v>
      </c>
      <c r="N23" s="83">
        <v>99</v>
      </c>
      <c r="O23" s="83">
        <v>91</v>
      </c>
      <c r="P23" s="83">
        <v>111</v>
      </c>
      <c r="Q23" s="83">
        <v>116</v>
      </c>
      <c r="R23" s="83">
        <v>113</v>
      </c>
      <c r="S23" s="83">
        <v>131</v>
      </c>
      <c r="T23" s="83">
        <v>134</v>
      </c>
      <c r="U23" s="83">
        <v>130</v>
      </c>
      <c r="V23" s="83">
        <v>121</v>
      </c>
      <c r="W23" s="83">
        <v>121</v>
      </c>
      <c r="X23" s="83">
        <v>124</v>
      </c>
      <c r="Y23" s="83">
        <v>123</v>
      </c>
      <c r="Z23" s="83">
        <v>125</v>
      </c>
      <c r="AA23" s="83">
        <v>126</v>
      </c>
      <c r="AB23" s="83">
        <v>124</v>
      </c>
      <c r="AC23" s="83">
        <v>118</v>
      </c>
      <c r="AD23" s="83">
        <v>113</v>
      </c>
      <c r="AE23" s="83">
        <v>122</v>
      </c>
      <c r="AF23" s="83">
        <v>118</v>
      </c>
      <c r="AG23" s="83">
        <v>118</v>
      </c>
      <c r="AH23" s="83">
        <v>114</v>
      </c>
      <c r="AI23" s="83">
        <v>114</v>
      </c>
      <c r="AJ23" s="83">
        <v>108</v>
      </c>
      <c r="AK23" s="83">
        <v>107</v>
      </c>
      <c r="AL23" s="83">
        <v>101</v>
      </c>
      <c r="AM23" s="83">
        <v>110</v>
      </c>
      <c r="AN23" s="83">
        <v>110</v>
      </c>
      <c r="AO23" s="83">
        <v>107</v>
      </c>
      <c r="AP23" s="83">
        <v>101</v>
      </c>
      <c r="AQ23" s="83">
        <v>111</v>
      </c>
      <c r="AR23" s="83">
        <v>106</v>
      </c>
      <c r="AS23" s="83">
        <v>105</v>
      </c>
      <c r="AT23" s="83">
        <v>102</v>
      </c>
      <c r="AU23" s="83">
        <v>100</v>
      </c>
      <c r="AV23" s="83">
        <v>100</v>
      </c>
      <c r="AW23" s="83">
        <v>93</v>
      </c>
    </row>
    <row r="24" spans="1:51" x14ac:dyDescent="0.15">
      <c r="A24" s="83">
        <v>20201122</v>
      </c>
      <c r="B24" s="83">
        <v>56</v>
      </c>
      <c r="C24" s="83">
        <v>42</v>
      </c>
      <c r="D24" s="83">
        <v>41</v>
      </c>
      <c r="E24" s="83">
        <v>38</v>
      </c>
      <c r="F24" s="83">
        <v>38</v>
      </c>
      <c r="G24" s="83">
        <v>42</v>
      </c>
      <c r="H24" s="83">
        <v>42</v>
      </c>
      <c r="I24" s="83">
        <v>40</v>
      </c>
      <c r="J24" s="83">
        <v>37</v>
      </c>
      <c r="K24" s="83">
        <v>36</v>
      </c>
      <c r="L24" s="83">
        <v>37</v>
      </c>
      <c r="M24" s="83">
        <v>52</v>
      </c>
      <c r="N24" s="83">
        <v>106</v>
      </c>
      <c r="O24" s="83">
        <v>91</v>
      </c>
      <c r="P24" s="83">
        <v>108</v>
      </c>
      <c r="Q24" s="83">
        <v>117</v>
      </c>
      <c r="R24" s="83">
        <v>111</v>
      </c>
      <c r="S24" s="83">
        <v>129</v>
      </c>
      <c r="T24" s="83">
        <v>134</v>
      </c>
      <c r="U24" s="83">
        <v>131</v>
      </c>
      <c r="V24" s="83">
        <v>131</v>
      </c>
      <c r="W24" s="83">
        <v>126</v>
      </c>
      <c r="X24" s="83">
        <v>125</v>
      </c>
      <c r="Y24" s="83">
        <v>129</v>
      </c>
      <c r="Z24" s="83">
        <v>128</v>
      </c>
      <c r="AA24" s="83">
        <v>128</v>
      </c>
      <c r="AB24" s="83">
        <v>122</v>
      </c>
      <c r="AC24" s="83">
        <v>128</v>
      </c>
      <c r="AD24" s="83">
        <v>118</v>
      </c>
      <c r="AE24" s="83">
        <v>129</v>
      </c>
      <c r="AF24" s="83">
        <v>122</v>
      </c>
      <c r="AG24" s="83">
        <v>124</v>
      </c>
      <c r="AH24" s="83">
        <v>121</v>
      </c>
      <c r="AI24" s="83">
        <v>118</v>
      </c>
      <c r="AJ24" s="83">
        <v>114</v>
      </c>
      <c r="AK24" s="83">
        <v>117</v>
      </c>
      <c r="AL24" s="83">
        <v>111</v>
      </c>
      <c r="AM24" s="83">
        <v>117</v>
      </c>
      <c r="AN24" s="83">
        <v>117</v>
      </c>
      <c r="AO24" s="83">
        <v>114</v>
      </c>
      <c r="AP24" s="83">
        <v>110</v>
      </c>
      <c r="AQ24" s="83">
        <v>118</v>
      </c>
      <c r="AR24" s="83">
        <v>113</v>
      </c>
      <c r="AS24" s="83">
        <v>110</v>
      </c>
      <c r="AT24" s="83">
        <v>107</v>
      </c>
      <c r="AU24" s="83">
        <v>105</v>
      </c>
      <c r="AV24" s="83">
        <v>104</v>
      </c>
      <c r="AW24" s="83">
        <v>100</v>
      </c>
    </row>
    <row r="25" spans="1:51" x14ac:dyDescent="0.15">
      <c r="A25" s="83">
        <v>20201123</v>
      </c>
      <c r="B25" s="83">
        <v>66</v>
      </c>
      <c r="C25" s="83">
        <v>47</v>
      </c>
      <c r="D25" s="83">
        <v>47</v>
      </c>
      <c r="E25" s="83">
        <v>45</v>
      </c>
      <c r="F25" s="83">
        <v>43</v>
      </c>
      <c r="G25" s="83">
        <v>47</v>
      </c>
      <c r="H25" s="83">
        <v>45</v>
      </c>
      <c r="I25" s="83">
        <v>44</v>
      </c>
      <c r="J25" s="83">
        <v>41</v>
      </c>
      <c r="K25" s="83">
        <v>40</v>
      </c>
      <c r="L25" s="83">
        <v>40</v>
      </c>
      <c r="M25" s="83">
        <v>54</v>
      </c>
      <c r="N25" s="83">
        <v>104</v>
      </c>
      <c r="O25" s="83">
        <v>98</v>
      </c>
      <c r="P25" s="83">
        <v>109</v>
      </c>
      <c r="Q25" s="83">
        <v>116</v>
      </c>
      <c r="R25" s="83">
        <v>110</v>
      </c>
      <c r="S25" s="83">
        <v>130</v>
      </c>
      <c r="T25" s="83">
        <v>129</v>
      </c>
      <c r="U25" s="83">
        <v>127</v>
      </c>
      <c r="V25" s="83">
        <v>126</v>
      </c>
      <c r="W25" s="83">
        <v>123</v>
      </c>
      <c r="X25" s="83">
        <v>123</v>
      </c>
      <c r="Y25" s="83">
        <v>118</v>
      </c>
      <c r="Z25" s="83">
        <v>124</v>
      </c>
      <c r="AA25" s="83">
        <v>123</v>
      </c>
      <c r="AB25" s="83">
        <v>113</v>
      </c>
      <c r="AC25" s="83">
        <v>116</v>
      </c>
      <c r="AD25" s="83">
        <v>114</v>
      </c>
      <c r="AE25" s="83">
        <v>120</v>
      </c>
      <c r="AF25" s="83">
        <v>120</v>
      </c>
      <c r="AG25" s="83">
        <v>116</v>
      </c>
      <c r="AH25" s="83">
        <v>114</v>
      </c>
      <c r="AI25" s="83">
        <v>118</v>
      </c>
      <c r="AJ25" s="83">
        <v>113</v>
      </c>
      <c r="AK25" s="83">
        <v>114</v>
      </c>
      <c r="AL25" s="83">
        <v>111</v>
      </c>
      <c r="AM25" s="83">
        <v>112</v>
      </c>
      <c r="AN25" s="83">
        <v>110</v>
      </c>
      <c r="AO25" s="83">
        <v>111</v>
      </c>
      <c r="AP25" s="83">
        <v>105</v>
      </c>
      <c r="AQ25" s="83">
        <v>110</v>
      </c>
      <c r="AR25" s="83">
        <v>108</v>
      </c>
      <c r="AS25" s="83">
        <v>101</v>
      </c>
      <c r="AT25" s="83">
        <v>99</v>
      </c>
      <c r="AU25" s="83">
        <v>98</v>
      </c>
      <c r="AV25" s="83">
        <v>99</v>
      </c>
      <c r="AW25" s="83">
        <v>84</v>
      </c>
    </row>
    <row r="26" spans="1:51" x14ac:dyDescent="0.15">
      <c r="A26" s="83">
        <v>20201124</v>
      </c>
      <c r="B26" s="83">
        <v>58</v>
      </c>
      <c r="C26" s="83">
        <v>42</v>
      </c>
      <c r="D26" s="83">
        <v>41</v>
      </c>
      <c r="E26" s="83">
        <v>37</v>
      </c>
      <c r="F26" s="83">
        <v>38</v>
      </c>
      <c r="G26" s="83">
        <v>43</v>
      </c>
      <c r="H26" s="83">
        <v>40</v>
      </c>
      <c r="I26" s="83">
        <v>39</v>
      </c>
      <c r="J26" s="83">
        <v>37</v>
      </c>
      <c r="K26" s="83">
        <v>35</v>
      </c>
      <c r="L26" s="83">
        <v>35</v>
      </c>
      <c r="M26" s="83">
        <v>50</v>
      </c>
      <c r="N26" s="83">
        <v>87</v>
      </c>
      <c r="O26" s="83">
        <v>91</v>
      </c>
      <c r="P26" s="83">
        <v>92</v>
      </c>
      <c r="Q26" s="83">
        <v>108</v>
      </c>
      <c r="R26" s="83">
        <v>110</v>
      </c>
      <c r="S26" s="83">
        <v>122</v>
      </c>
      <c r="T26" s="83">
        <v>130</v>
      </c>
      <c r="U26" s="83">
        <v>128</v>
      </c>
      <c r="V26" s="83">
        <v>122</v>
      </c>
      <c r="W26" s="83">
        <v>121</v>
      </c>
      <c r="X26" s="83">
        <v>122</v>
      </c>
      <c r="Y26" s="83">
        <v>120</v>
      </c>
      <c r="Z26" s="83">
        <v>119</v>
      </c>
      <c r="AA26" s="83">
        <v>123</v>
      </c>
      <c r="AB26" s="83">
        <v>126</v>
      </c>
      <c r="AC26" s="83">
        <v>125</v>
      </c>
      <c r="AD26" s="83">
        <v>116</v>
      </c>
      <c r="AE26" s="83">
        <v>122</v>
      </c>
      <c r="AF26" s="83">
        <v>121</v>
      </c>
      <c r="AG26" s="83">
        <v>115</v>
      </c>
      <c r="AH26" s="83">
        <v>116</v>
      </c>
      <c r="AI26" s="83">
        <v>113</v>
      </c>
      <c r="AJ26" s="83">
        <v>112</v>
      </c>
      <c r="AK26" s="83">
        <v>110</v>
      </c>
      <c r="AL26" s="83">
        <v>105</v>
      </c>
      <c r="AM26" s="83">
        <v>113</v>
      </c>
      <c r="AN26" s="83">
        <v>109</v>
      </c>
      <c r="AO26" s="83">
        <v>113</v>
      </c>
      <c r="AP26" s="83">
        <v>102</v>
      </c>
      <c r="AQ26" s="83">
        <v>112</v>
      </c>
      <c r="AR26" s="83">
        <v>104</v>
      </c>
      <c r="AS26" s="83">
        <v>100</v>
      </c>
      <c r="AT26" s="83">
        <v>100</v>
      </c>
      <c r="AU26" s="83">
        <v>95</v>
      </c>
      <c r="AV26" s="83">
        <v>96</v>
      </c>
      <c r="AW26" s="83">
        <v>92</v>
      </c>
    </row>
    <row r="27" spans="1:51" x14ac:dyDescent="0.15">
      <c r="A27" s="83">
        <v>20201125</v>
      </c>
      <c r="B27" s="83">
        <v>60</v>
      </c>
      <c r="C27" s="83">
        <v>42</v>
      </c>
      <c r="D27" s="83">
        <v>40</v>
      </c>
      <c r="E27" s="83">
        <v>37</v>
      </c>
      <c r="F27" s="83">
        <v>37</v>
      </c>
      <c r="G27" s="83">
        <v>41</v>
      </c>
      <c r="H27" s="83">
        <v>40</v>
      </c>
      <c r="I27" s="83">
        <v>39</v>
      </c>
      <c r="J27" s="83">
        <v>36</v>
      </c>
      <c r="K27" s="83">
        <v>36</v>
      </c>
      <c r="L27" s="83">
        <v>41</v>
      </c>
      <c r="M27" s="83">
        <v>50</v>
      </c>
      <c r="N27" s="83">
        <v>96</v>
      </c>
      <c r="O27" s="83">
        <v>94</v>
      </c>
      <c r="P27" s="83">
        <v>103</v>
      </c>
      <c r="Q27" s="83">
        <v>116</v>
      </c>
      <c r="R27" s="83">
        <v>114</v>
      </c>
      <c r="S27" s="83">
        <v>121</v>
      </c>
      <c r="T27" s="83">
        <v>127</v>
      </c>
      <c r="U27" s="83">
        <v>120</v>
      </c>
      <c r="V27" s="83">
        <v>121</v>
      </c>
      <c r="W27" s="83">
        <v>123</v>
      </c>
      <c r="X27" s="83">
        <v>125</v>
      </c>
      <c r="Y27" s="83">
        <v>119</v>
      </c>
      <c r="Z27" s="83">
        <v>117</v>
      </c>
      <c r="AA27" s="83">
        <v>125</v>
      </c>
      <c r="AB27" s="83">
        <v>117</v>
      </c>
      <c r="AC27" s="83">
        <v>119</v>
      </c>
      <c r="AD27" s="83">
        <v>110</v>
      </c>
      <c r="AE27" s="83">
        <v>125</v>
      </c>
      <c r="AF27" s="83">
        <v>118</v>
      </c>
      <c r="AG27" s="83">
        <v>117</v>
      </c>
      <c r="AH27" s="83">
        <v>112</v>
      </c>
      <c r="AI27" s="83">
        <v>114</v>
      </c>
      <c r="AJ27" s="83">
        <v>111</v>
      </c>
      <c r="AK27" s="83">
        <v>109</v>
      </c>
      <c r="AL27" s="83">
        <v>106</v>
      </c>
      <c r="AM27" s="83">
        <v>112</v>
      </c>
      <c r="AN27" s="83">
        <v>108</v>
      </c>
      <c r="AO27" s="83">
        <v>113</v>
      </c>
      <c r="AP27" s="83">
        <v>107</v>
      </c>
      <c r="AQ27" s="83">
        <v>110</v>
      </c>
      <c r="AR27" s="83">
        <v>110</v>
      </c>
      <c r="AS27" s="83">
        <v>103</v>
      </c>
      <c r="AT27" s="83">
        <v>103</v>
      </c>
      <c r="AU27" s="83">
        <v>99</v>
      </c>
      <c r="AV27" s="83">
        <v>98</v>
      </c>
      <c r="AW27" s="83">
        <v>93</v>
      </c>
    </row>
    <row r="28" spans="1:51" x14ac:dyDescent="0.15">
      <c r="A28" s="83">
        <v>20201126</v>
      </c>
      <c r="B28" s="83">
        <v>56</v>
      </c>
      <c r="C28" s="83">
        <v>41</v>
      </c>
      <c r="D28" s="83">
        <v>43</v>
      </c>
      <c r="E28" s="83">
        <v>38</v>
      </c>
      <c r="F28" s="83">
        <v>38</v>
      </c>
      <c r="G28" s="83">
        <v>42</v>
      </c>
      <c r="H28" s="83">
        <v>43</v>
      </c>
      <c r="I28" s="83">
        <v>40</v>
      </c>
      <c r="J28" s="83">
        <v>39</v>
      </c>
      <c r="K28" s="83">
        <v>38</v>
      </c>
      <c r="L28" s="83">
        <v>41</v>
      </c>
      <c r="M28" s="83">
        <v>50</v>
      </c>
      <c r="N28" s="83">
        <v>105</v>
      </c>
      <c r="O28" s="83">
        <v>91</v>
      </c>
      <c r="P28" s="83">
        <v>107</v>
      </c>
      <c r="Q28" s="83">
        <v>111</v>
      </c>
      <c r="R28" s="83">
        <v>116</v>
      </c>
      <c r="S28" s="83">
        <v>129</v>
      </c>
      <c r="T28" s="83">
        <v>132</v>
      </c>
      <c r="U28" s="83">
        <v>129</v>
      </c>
      <c r="V28" s="83">
        <v>123</v>
      </c>
      <c r="W28" s="83">
        <v>127</v>
      </c>
      <c r="X28" s="83">
        <v>125</v>
      </c>
      <c r="Y28" s="83">
        <v>124</v>
      </c>
      <c r="Z28" s="83">
        <v>118</v>
      </c>
      <c r="AA28" s="83">
        <v>129</v>
      </c>
      <c r="AB28" s="83">
        <v>122</v>
      </c>
      <c r="AC28" s="83">
        <v>124</v>
      </c>
      <c r="AD28" s="83">
        <v>117</v>
      </c>
      <c r="AE28" s="83">
        <v>125</v>
      </c>
      <c r="AF28" s="83">
        <v>114</v>
      </c>
      <c r="AG28" s="83">
        <v>118</v>
      </c>
      <c r="AH28" s="83">
        <v>117</v>
      </c>
      <c r="AI28" s="83">
        <v>116</v>
      </c>
      <c r="AJ28" s="83">
        <v>109</v>
      </c>
      <c r="AK28" s="83">
        <v>110</v>
      </c>
      <c r="AL28" s="83">
        <v>105</v>
      </c>
      <c r="AM28" s="83">
        <v>109</v>
      </c>
      <c r="AN28" s="83">
        <v>106</v>
      </c>
      <c r="AO28" s="83">
        <v>109</v>
      </c>
      <c r="AP28" s="83">
        <v>108</v>
      </c>
      <c r="AQ28" s="83">
        <v>119</v>
      </c>
      <c r="AR28" s="83">
        <v>108</v>
      </c>
      <c r="AS28" s="83">
        <v>109</v>
      </c>
      <c r="AT28" s="83">
        <v>105</v>
      </c>
      <c r="AU28" s="83">
        <v>98</v>
      </c>
      <c r="AV28" s="83">
        <v>96</v>
      </c>
      <c r="AW28" s="83">
        <v>92</v>
      </c>
    </row>
    <row r="29" spans="1:51" x14ac:dyDescent="0.15">
      <c r="A29" s="83">
        <v>20201127</v>
      </c>
      <c r="B29" s="83">
        <v>60</v>
      </c>
      <c r="C29" s="83">
        <v>42</v>
      </c>
      <c r="D29" s="83">
        <v>41</v>
      </c>
      <c r="E29" s="83">
        <v>37</v>
      </c>
      <c r="F29" s="83">
        <v>38</v>
      </c>
      <c r="G29" s="83">
        <v>42</v>
      </c>
      <c r="H29" s="83">
        <v>40</v>
      </c>
      <c r="I29" s="83">
        <v>40</v>
      </c>
      <c r="J29" s="83">
        <v>37</v>
      </c>
      <c r="K29" s="83">
        <v>37</v>
      </c>
      <c r="L29" s="83">
        <v>37</v>
      </c>
      <c r="M29" s="83">
        <v>51</v>
      </c>
      <c r="N29" s="83">
        <v>90</v>
      </c>
      <c r="O29" s="83">
        <v>100</v>
      </c>
      <c r="P29" s="83">
        <v>99</v>
      </c>
      <c r="Q29" s="83">
        <v>109</v>
      </c>
      <c r="R29" s="83">
        <v>109</v>
      </c>
      <c r="S29" s="83">
        <v>121</v>
      </c>
      <c r="T29" s="83">
        <v>124</v>
      </c>
      <c r="U29" s="83">
        <v>127</v>
      </c>
      <c r="V29" s="83">
        <v>122</v>
      </c>
      <c r="W29" s="83">
        <v>118</v>
      </c>
      <c r="X29" s="83">
        <v>122</v>
      </c>
      <c r="Y29" s="83">
        <v>116</v>
      </c>
      <c r="Z29" s="83">
        <v>115</v>
      </c>
      <c r="AA29" s="83">
        <v>123</v>
      </c>
      <c r="AB29" s="83">
        <v>122</v>
      </c>
      <c r="AC29" s="83">
        <v>117</v>
      </c>
      <c r="AD29" s="83">
        <v>111</v>
      </c>
      <c r="AE29" s="83">
        <v>119</v>
      </c>
      <c r="AF29" s="83">
        <v>116</v>
      </c>
      <c r="AG29" s="83">
        <v>116</v>
      </c>
      <c r="AH29" s="83">
        <v>112</v>
      </c>
      <c r="AI29" s="83">
        <v>112</v>
      </c>
      <c r="AJ29" s="83">
        <v>109</v>
      </c>
      <c r="AK29" s="83">
        <v>110</v>
      </c>
      <c r="AL29" s="83">
        <v>108</v>
      </c>
      <c r="AM29" s="83">
        <v>114</v>
      </c>
      <c r="AN29" s="83">
        <v>110</v>
      </c>
      <c r="AO29" s="83">
        <v>106</v>
      </c>
      <c r="AP29" s="83">
        <v>106</v>
      </c>
      <c r="AQ29" s="83">
        <v>109</v>
      </c>
      <c r="AR29" s="83">
        <v>109</v>
      </c>
      <c r="AS29" s="83">
        <v>105</v>
      </c>
      <c r="AT29" s="83">
        <v>101</v>
      </c>
      <c r="AU29" s="83">
        <v>101</v>
      </c>
      <c r="AV29" s="83">
        <v>97</v>
      </c>
      <c r="AW29" s="83">
        <v>97</v>
      </c>
    </row>
    <row r="30" spans="1:51" x14ac:dyDescent="0.15">
      <c r="A30" s="83">
        <v>20201128</v>
      </c>
      <c r="B30" s="83">
        <v>64</v>
      </c>
      <c r="C30" s="83">
        <v>42</v>
      </c>
      <c r="D30" s="83">
        <v>41</v>
      </c>
      <c r="E30" s="83">
        <v>38</v>
      </c>
      <c r="F30" s="83">
        <v>38</v>
      </c>
      <c r="G30" s="83">
        <v>43</v>
      </c>
      <c r="H30" s="83">
        <v>46</v>
      </c>
      <c r="I30" s="83">
        <v>44</v>
      </c>
      <c r="J30" s="83">
        <v>43</v>
      </c>
      <c r="K30" s="83">
        <v>43</v>
      </c>
      <c r="L30" s="83">
        <v>42</v>
      </c>
      <c r="M30" s="83">
        <v>54</v>
      </c>
      <c r="N30" s="83">
        <v>87</v>
      </c>
      <c r="O30" s="83">
        <v>78</v>
      </c>
      <c r="P30" s="83">
        <v>92</v>
      </c>
      <c r="Q30" s="83">
        <v>98</v>
      </c>
      <c r="R30" s="83">
        <v>112</v>
      </c>
      <c r="S30" s="83">
        <v>123</v>
      </c>
      <c r="T30" s="83">
        <v>132</v>
      </c>
      <c r="U30" s="83">
        <v>128</v>
      </c>
      <c r="V30" s="83">
        <v>124</v>
      </c>
      <c r="W30" s="83">
        <v>122</v>
      </c>
      <c r="X30" s="83">
        <v>122</v>
      </c>
      <c r="Y30" s="83">
        <v>120</v>
      </c>
      <c r="Z30" s="83">
        <v>122</v>
      </c>
      <c r="AA30" s="83">
        <v>123</v>
      </c>
      <c r="AB30" s="83">
        <v>119</v>
      </c>
      <c r="AC30" s="83">
        <v>115</v>
      </c>
      <c r="AD30" s="83">
        <v>112</v>
      </c>
      <c r="AE30" s="83">
        <v>125</v>
      </c>
      <c r="AF30" s="83">
        <v>119</v>
      </c>
      <c r="AG30" s="83">
        <v>119</v>
      </c>
      <c r="AH30" s="83">
        <v>116</v>
      </c>
      <c r="AI30" s="83">
        <v>114</v>
      </c>
      <c r="AJ30" s="83">
        <v>106</v>
      </c>
      <c r="AK30" s="83">
        <v>110</v>
      </c>
      <c r="AL30" s="83">
        <v>107</v>
      </c>
      <c r="AM30" s="83">
        <v>110</v>
      </c>
      <c r="AN30" s="83">
        <v>111</v>
      </c>
      <c r="AO30" s="83">
        <v>113</v>
      </c>
      <c r="AP30" s="83">
        <v>112</v>
      </c>
      <c r="AQ30" s="83">
        <v>111</v>
      </c>
      <c r="AR30" s="83">
        <v>104</v>
      </c>
      <c r="AS30" s="83">
        <v>101</v>
      </c>
      <c r="AT30" s="83">
        <v>97</v>
      </c>
      <c r="AU30" s="83">
        <v>99</v>
      </c>
      <c r="AV30" s="83">
        <v>94</v>
      </c>
      <c r="AW30" s="83">
        <v>94</v>
      </c>
    </row>
    <row r="31" spans="1:51" x14ac:dyDescent="0.15">
      <c r="A31" s="83">
        <v>20201129</v>
      </c>
      <c r="B31" s="83">
        <v>57</v>
      </c>
      <c r="C31" s="83">
        <v>41</v>
      </c>
      <c r="D31" s="83">
        <v>39</v>
      </c>
      <c r="E31" s="83">
        <v>36</v>
      </c>
      <c r="F31" s="83">
        <v>37</v>
      </c>
      <c r="G31" s="83">
        <v>40</v>
      </c>
      <c r="H31" s="83">
        <v>43</v>
      </c>
      <c r="I31" s="83">
        <v>42</v>
      </c>
      <c r="J31" s="83">
        <v>41</v>
      </c>
      <c r="K31" s="83">
        <v>41</v>
      </c>
      <c r="L31" s="83">
        <v>40</v>
      </c>
      <c r="M31" s="83">
        <v>43</v>
      </c>
      <c r="N31" s="83">
        <v>92</v>
      </c>
      <c r="O31" s="83">
        <v>79</v>
      </c>
      <c r="P31" s="83">
        <v>90</v>
      </c>
      <c r="Q31" s="83">
        <v>104</v>
      </c>
      <c r="R31" s="83">
        <v>113</v>
      </c>
      <c r="S31" s="83">
        <v>122</v>
      </c>
      <c r="T31" s="83">
        <v>131</v>
      </c>
      <c r="U31" s="83">
        <v>123</v>
      </c>
      <c r="V31" s="83">
        <v>125</v>
      </c>
      <c r="W31" s="83">
        <v>125</v>
      </c>
      <c r="X31" s="83">
        <v>117</v>
      </c>
      <c r="Y31" s="83">
        <v>122</v>
      </c>
      <c r="Z31" s="83">
        <v>121</v>
      </c>
      <c r="AA31" s="83">
        <v>128</v>
      </c>
      <c r="AB31" s="83">
        <v>126</v>
      </c>
      <c r="AC31" s="83">
        <v>126</v>
      </c>
      <c r="AD31" s="83">
        <v>115</v>
      </c>
      <c r="AE31" s="83">
        <v>122</v>
      </c>
      <c r="AF31" s="83">
        <v>120</v>
      </c>
      <c r="AG31" s="83">
        <v>120</v>
      </c>
      <c r="AH31" s="83">
        <v>118</v>
      </c>
      <c r="AI31" s="83">
        <v>113</v>
      </c>
      <c r="AJ31" s="83">
        <v>112</v>
      </c>
      <c r="AK31" s="83">
        <v>112</v>
      </c>
      <c r="AL31" s="83">
        <v>107</v>
      </c>
      <c r="AM31" s="83">
        <v>117</v>
      </c>
      <c r="AN31" s="83">
        <v>112</v>
      </c>
      <c r="AO31" s="83">
        <v>110</v>
      </c>
      <c r="AP31" s="83">
        <v>107</v>
      </c>
      <c r="AQ31" s="83">
        <v>110</v>
      </c>
      <c r="AR31" s="83">
        <v>107</v>
      </c>
      <c r="AS31" s="83">
        <v>103</v>
      </c>
      <c r="AT31" s="83">
        <v>97</v>
      </c>
      <c r="AU31" s="83">
        <v>99</v>
      </c>
      <c r="AV31" s="83">
        <v>94</v>
      </c>
      <c r="AW31" s="83">
        <v>89</v>
      </c>
    </row>
    <row r="32" spans="1:51" x14ac:dyDescent="0.15">
      <c r="A32" s="83">
        <v>20201130</v>
      </c>
      <c r="B32" s="83">
        <v>54</v>
      </c>
      <c r="C32" s="83">
        <v>40</v>
      </c>
      <c r="D32" s="83">
        <v>40</v>
      </c>
      <c r="E32" s="83">
        <v>36</v>
      </c>
      <c r="F32" s="83">
        <v>37</v>
      </c>
      <c r="G32" s="83">
        <v>40</v>
      </c>
      <c r="H32" s="83">
        <v>39</v>
      </c>
      <c r="I32" s="83">
        <v>38</v>
      </c>
      <c r="J32" s="83">
        <v>35</v>
      </c>
      <c r="K32" s="83">
        <v>35</v>
      </c>
      <c r="L32" s="83">
        <v>36</v>
      </c>
      <c r="M32" s="83">
        <v>50</v>
      </c>
      <c r="N32" s="83">
        <v>92</v>
      </c>
      <c r="O32" s="83">
        <v>80</v>
      </c>
      <c r="P32" s="83">
        <v>97</v>
      </c>
      <c r="Q32" s="83">
        <v>102</v>
      </c>
      <c r="R32" s="83">
        <v>121</v>
      </c>
      <c r="S32" s="83">
        <v>122</v>
      </c>
      <c r="T32" s="83">
        <v>124</v>
      </c>
      <c r="U32" s="83">
        <v>122</v>
      </c>
      <c r="V32" s="83">
        <v>120</v>
      </c>
      <c r="W32" s="83">
        <v>118</v>
      </c>
      <c r="X32" s="83">
        <v>119</v>
      </c>
      <c r="Y32" s="83">
        <v>117</v>
      </c>
      <c r="Z32" s="83">
        <v>119</v>
      </c>
      <c r="AA32" s="83">
        <v>124</v>
      </c>
      <c r="AB32" s="83">
        <v>117</v>
      </c>
      <c r="AC32" s="83">
        <v>115</v>
      </c>
      <c r="AD32" s="83">
        <v>116</v>
      </c>
      <c r="AE32" s="83">
        <v>119</v>
      </c>
      <c r="AF32" s="83">
        <v>114</v>
      </c>
      <c r="AG32" s="83">
        <v>116</v>
      </c>
      <c r="AH32" s="83">
        <v>114</v>
      </c>
      <c r="AI32" s="83">
        <v>111</v>
      </c>
      <c r="AJ32" s="83">
        <v>108</v>
      </c>
      <c r="AK32" s="83">
        <v>102</v>
      </c>
      <c r="AL32" s="83">
        <v>102</v>
      </c>
      <c r="AM32" s="83">
        <v>106</v>
      </c>
      <c r="AN32" s="83">
        <v>106</v>
      </c>
      <c r="AO32" s="83">
        <v>107</v>
      </c>
      <c r="AP32" s="83">
        <v>99</v>
      </c>
      <c r="AQ32" s="83">
        <v>105</v>
      </c>
      <c r="AR32" s="83">
        <v>103</v>
      </c>
      <c r="AS32" s="83">
        <v>99</v>
      </c>
      <c r="AT32" s="83">
        <v>97</v>
      </c>
      <c r="AU32" s="83">
        <v>96</v>
      </c>
      <c r="AV32" s="83">
        <v>97</v>
      </c>
      <c r="AW32" s="83">
        <v>90</v>
      </c>
    </row>
    <row r="33" spans="1:49" x14ac:dyDescent="0.15">
      <c r="A33" s="72"/>
      <c r="B33" s="65">
        <f t="shared" ref="B33:AC33" si="0">AVERAGE(B3:B3)</f>
        <v>58</v>
      </c>
      <c r="C33" s="65">
        <f t="shared" si="0"/>
        <v>42</v>
      </c>
      <c r="D33" s="65">
        <f t="shared" si="0"/>
        <v>41</v>
      </c>
      <c r="E33" s="65">
        <f t="shared" si="0"/>
        <v>39</v>
      </c>
      <c r="F33" s="65">
        <f t="shared" si="0"/>
        <v>39</v>
      </c>
      <c r="G33" s="65">
        <f t="shared" si="0"/>
        <v>42</v>
      </c>
      <c r="H33" s="65">
        <f t="shared" si="0"/>
        <v>41</v>
      </c>
      <c r="I33" s="65">
        <f t="shared" si="0"/>
        <v>39</v>
      </c>
      <c r="J33" s="65">
        <f t="shared" si="0"/>
        <v>37</v>
      </c>
      <c r="K33" s="65">
        <f t="shared" si="0"/>
        <v>38</v>
      </c>
      <c r="L33" s="65">
        <f t="shared" si="0"/>
        <v>40</v>
      </c>
      <c r="M33" s="65">
        <f t="shared" si="0"/>
        <v>51</v>
      </c>
      <c r="N33" s="65">
        <f t="shared" si="0"/>
        <v>98</v>
      </c>
      <c r="O33" s="65">
        <f t="shared" si="0"/>
        <v>104</v>
      </c>
      <c r="P33" s="65">
        <f t="shared" si="0"/>
        <v>105</v>
      </c>
      <c r="Q33" s="65">
        <f t="shared" si="0"/>
        <v>111</v>
      </c>
      <c r="R33" s="65">
        <f t="shared" si="0"/>
        <v>115</v>
      </c>
      <c r="S33" s="65">
        <f t="shared" si="0"/>
        <v>123</v>
      </c>
      <c r="T33" s="65">
        <f t="shared" si="0"/>
        <v>127</v>
      </c>
      <c r="U33" s="65">
        <f t="shared" si="0"/>
        <v>132</v>
      </c>
      <c r="V33" s="65">
        <f t="shared" si="0"/>
        <v>131</v>
      </c>
      <c r="W33" s="65">
        <f t="shared" si="0"/>
        <v>124</v>
      </c>
      <c r="X33" s="65">
        <f t="shared" si="0"/>
        <v>127</v>
      </c>
      <c r="Y33" s="65">
        <f t="shared" si="0"/>
        <v>131</v>
      </c>
      <c r="Z33" s="65">
        <f t="shared" si="0"/>
        <v>121</v>
      </c>
      <c r="AA33" s="65">
        <f t="shared" si="0"/>
        <v>132</v>
      </c>
      <c r="AB33" s="65">
        <f t="shared" si="0"/>
        <v>128</v>
      </c>
      <c r="AC33" s="65">
        <f t="shared" si="0"/>
        <v>123</v>
      </c>
      <c r="AD33" s="65">
        <f t="shared" ref="AD33:AW33" si="1">AVERAGE(AD3:AD31)</f>
        <v>115.51724137931035</v>
      </c>
      <c r="AE33" s="65">
        <f t="shared" si="1"/>
        <v>125.48275862068965</v>
      </c>
      <c r="AF33" s="65">
        <f t="shared" si="1"/>
        <v>120.44827586206897</v>
      </c>
      <c r="AG33" s="65">
        <f t="shared" si="1"/>
        <v>118.93103448275862</v>
      </c>
      <c r="AH33" s="65">
        <f t="shared" si="1"/>
        <v>116.03448275862068</v>
      </c>
      <c r="AI33" s="65">
        <f t="shared" si="1"/>
        <v>115.27586206896552</v>
      </c>
      <c r="AJ33" s="65">
        <f t="shared" si="1"/>
        <v>112.68965517241379</v>
      </c>
      <c r="AK33" s="65">
        <f t="shared" si="1"/>
        <v>111.41379310344827</v>
      </c>
      <c r="AL33" s="65">
        <f t="shared" si="1"/>
        <v>106.41379310344827</v>
      </c>
      <c r="AM33" s="65">
        <f t="shared" si="1"/>
        <v>112.86206896551724</v>
      </c>
      <c r="AN33" s="65">
        <f t="shared" si="1"/>
        <v>109.20689655172414</v>
      </c>
      <c r="AO33" s="65">
        <f t="shared" si="1"/>
        <v>109.82758620689656</v>
      </c>
      <c r="AP33" s="65">
        <f t="shared" si="1"/>
        <v>106.03448275862068</v>
      </c>
      <c r="AQ33" s="65">
        <f t="shared" si="1"/>
        <v>112.58620689655173</v>
      </c>
      <c r="AR33" s="65">
        <f t="shared" si="1"/>
        <v>108.96551724137932</v>
      </c>
      <c r="AS33" s="65">
        <f t="shared" si="1"/>
        <v>105.03448275862068</v>
      </c>
      <c r="AT33" s="65">
        <f t="shared" si="1"/>
        <v>101.27586206896552</v>
      </c>
      <c r="AU33" s="65">
        <f t="shared" si="1"/>
        <v>99.41379310344827</v>
      </c>
      <c r="AV33" s="65">
        <f t="shared" si="1"/>
        <v>97.241379310344826</v>
      </c>
      <c r="AW33" s="65">
        <f t="shared" si="1"/>
        <v>92.068965517241381</v>
      </c>
    </row>
    <row r="34" spans="1:49" x14ac:dyDescent="0.15">
      <c r="A34" s="72"/>
      <c r="B34" s="173">
        <f>AVERAGE(B3:C33)</f>
        <v>51.612903225806448</v>
      </c>
      <c r="C34" s="173"/>
      <c r="D34" s="173">
        <f>AVERAGE(D3:E33)</f>
        <v>41.29032258064516</v>
      </c>
      <c r="E34" s="173"/>
      <c r="F34" s="173">
        <f>AVERAGE(F3:G33)</f>
        <v>41.741935483870968</v>
      </c>
      <c r="G34" s="173"/>
      <c r="H34" s="173">
        <f>AVERAGE(H3:I33)</f>
        <v>41.822580645161288</v>
      </c>
      <c r="I34" s="173"/>
      <c r="J34" s="173">
        <f>AVERAGE(J3:K33)</f>
        <v>38.241935483870968</v>
      </c>
      <c r="K34" s="173"/>
      <c r="L34" s="173">
        <f>AVERAGE(L3:M33)</f>
        <v>46.177419354838712</v>
      </c>
      <c r="M34" s="173"/>
      <c r="N34" s="173">
        <f>AVERAGE(N3:O33)</f>
        <v>95.41935483870968</v>
      </c>
      <c r="O34" s="173"/>
      <c r="P34" s="173">
        <f>AVERAGE(P3:Q33)</f>
        <v>107.41935483870968</v>
      </c>
      <c r="Q34" s="173"/>
      <c r="R34" s="173">
        <f>AVERAGE(R3:S33)</f>
        <v>119.09677419354838</v>
      </c>
      <c r="S34" s="173"/>
      <c r="T34" s="173">
        <f>AVERAGE(T3:U33)</f>
        <v>128.12903225806451</v>
      </c>
      <c r="U34" s="173"/>
      <c r="V34" s="173">
        <f>AVERAGE(V3:W33)</f>
        <v>122.87096774193549</v>
      </c>
      <c r="W34" s="173"/>
      <c r="X34" s="173">
        <f>AVERAGE(X3:Y33)</f>
        <v>123.80645161290323</v>
      </c>
      <c r="Y34" s="173"/>
      <c r="Z34" s="173">
        <f>AVERAGE(Z3:AA33)</f>
        <v>124.48387096774194</v>
      </c>
      <c r="AA34" s="173"/>
      <c r="AB34" s="173">
        <f>AVERAGE(AB3:AC33)</f>
        <v>121.70967741935483</v>
      </c>
      <c r="AC34" s="173"/>
      <c r="AD34" s="173">
        <f>AVERAGE(AD3:AE33)</f>
        <v>120.40322580645162</v>
      </c>
      <c r="AE34" s="173"/>
      <c r="AF34" s="173">
        <f>AVERAGE(AF3:AG33)</f>
        <v>119.53837597330367</v>
      </c>
      <c r="AG34" s="173"/>
      <c r="AH34" s="173">
        <f>AVERAGE(AH3:AI33)</f>
        <v>115.55339265850945</v>
      </c>
      <c r="AI34" s="173"/>
      <c r="AJ34" s="173">
        <f>AVERAGE(AJ3:AK33)</f>
        <v>111.82424916573972</v>
      </c>
      <c r="AK34" s="173"/>
      <c r="AL34" s="173">
        <f>AVERAGE(AL3:AM33)</f>
        <v>109.45606229143493</v>
      </c>
      <c r="AM34" s="173"/>
      <c r="AN34" s="173">
        <f>AVERAGE(AN3:AO33)</f>
        <v>109.41991101223581</v>
      </c>
      <c r="AO34" s="173"/>
      <c r="AP34" s="173">
        <f>AVERAGE(AP3:AQ33)</f>
        <v>109.07452725250278</v>
      </c>
      <c r="AQ34" s="173"/>
      <c r="AR34" s="173">
        <f>AVERAGE(AR3:AS33)</f>
        <v>106.80645161290323</v>
      </c>
      <c r="AS34" s="173"/>
      <c r="AT34" s="173">
        <f>AVERAGE(AT3:AU33)</f>
        <v>100.22080088987765</v>
      </c>
      <c r="AU34" s="173"/>
      <c r="AV34" s="173">
        <f>AVERAGE(AV3:AW33)</f>
        <v>94.617908787541708</v>
      </c>
      <c r="AW34" s="173"/>
    </row>
    <row r="35" spans="1:49" x14ac:dyDescent="0.15">
      <c r="A35" s="83">
        <v>20201201</v>
      </c>
      <c r="B35" s="83">
        <v>56</v>
      </c>
      <c r="C35" s="83">
        <v>40</v>
      </c>
      <c r="D35" s="83">
        <v>40</v>
      </c>
      <c r="E35" s="83">
        <v>36</v>
      </c>
      <c r="F35" s="83">
        <v>37</v>
      </c>
      <c r="G35" s="83">
        <v>41</v>
      </c>
      <c r="H35" s="83">
        <v>40</v>
      </c>
      <c r="I35" s="83">
        <v>37</v>
      </c>
      <c r="J35" s="83">
        <v>35</v>
      </c>
      <c r="K35" s="83">
        <v>36</v>
      </c>
      <c r="L35" s="83">
        <v>35</v>
      </c>
      <c r="M35" s="83">
        <v>39</v>
      </c>
      <c r="N35" s="83">
        <v>88</v>
      </c>
      <c r="O35" s="83">
        <v>78</v>
      </c>
      <c r="P35" s="83">
        <v>93</v>
      </c>
      <c r="Q35" s="83">
        <v>100</v>
      </c>
      <c r="R35" s="83">
        <v>106</v>
      </c>
      <c r="S35" s="83">
        <v>121</v>
      </c>
      <c r="T35" s="83">
        <v>128</v>
      </c>
      <c r="U35" s="83">
        <v>122</v>
      </c>
      <c r="V35" s="83">
        <v>120</v>
      </c>
      <c r="W35" s="83">
        <v>119</v>
      </c>
      <c r="X35" s="83">
        <v>126</v>
      </c>
      <c r="Y35" s="83">
        <v>115</v>
      </c>
      <c r="Z35" s="83">
        <v>114</v>
      </c>
      <c r="AA35" s="83">
        <v>115</v>
      </c>
      <c r="AB35" s="83">
        <v>109</v>
      </c>
      <c r="AC35" s="83">
        <v>114</v>
      </c>
      <c r="AD35" s="83">
        <v>107</v>
      </c>
      <c r="AE35" s="83">
        <v>118</v>
      </c>
      <c r="AF35" s="83">
        <v>120</v>
      </c>
      <c r="AG35" s="83">
        <v>120</v>
      </c>
      <c r="AH35" s="83">
        <v>114</v>
      </c>
      <c r="AI35" s="83">
        <v>107</v>
      </c>
      <c r="AJ35" s="83">
        <v>107</v>
      </c>
      <c r="AK35" s="83">
        <v>107</v>
      </c>
      <c r="AL35" s="83">
        <v>104</v>
      </c>
      <c r="AM35" s="83">
        <v>108</v>
      </c>
      <c r="AN35" s="83">
        <v>107</v>
      </c>
      <c r="AO35" s="83">
        <v>108</v>
      </c>
      <c r="AP35" s="83">
        <v>102</v>
      </c>
      <c r="AQ35" s="83">
        <v>105</v>
      </c>
      <c r="AR35" s="83">
        <v>102</v>
      </c>
      <c r="AS35" s="83">
        <v>98</v>
      </c>
      <c r="AT35" s="83">
        <v>94</v>
      </c>
      <c r="AU35" s="83">
        <v>96</v>
      </c>
      <c r="AV35" s="83">
        <v>92</v>
      </c>
      <c r="AW35" s="83">
        <v>93</v>
      </c>
    </row>
    <row r="36" spans="1:49" x14ac:dyDescent="0.15">
      <c r="A36" s="83">
        <v>20201202</v>
      </c>
      <c r="B36" s="83">
        <v>58</v>
      </c>
      <c r="C36" s="83">
        <v>41</v>
      </c>
      <c r="D36" s="83">
        <v>39</v>
      </c>
      <c r="E36" s="83">
        <v>35</v>
      </c>
      <c r="F36" s="83">
        <v>36</v>
      </c>
      <c r="G36" s="83">
        <v>40</v>
      </c>
      <c r="H36" s="83">
        <v>38</v>
      </c>
      <c r="I36" s="83">
        <v>37</v>
      </c>
      <c r="J36" s="83">
        <v>35</v>
      </c>
      <c r="K36" s="83">
        <v>34</v>
      </c>
      <c r="L36" s="83">
        <v>35</v>
      </c>
      <c r="M36" s="83">
        <v>49</v>
      </c>
      <c r="N36" s="83">
        <v>97</v>
      </c>
      <c r="O36" s="83">
        <v>93</v>
      </c>
      <c r="P36" s="83">
        <v>105</v>
      </c>
      <c r="Q36" s="83">
        <v>110</v>
      </c>
      <c r="R36" s="83">
        <v>112</v>
      </c>
      <c r="S36" s="83">
        <v>123</v>
      </c>
      <c r="T36" s="83">
        <v>126</v>
      </c>
      <c r="U36" s="83">
        <v>123</v>
      </c>
      <c r="V36" s="83">
        <v>121</v>
      </c>
      <c r="W36" s="83">
        <v>117</v>
      </c>
      <c r="X36" s="83">
        <v>120</v>
      </c>
      <c r="Y36" s="83">
        <v>123</v>
      </c>
      <c r="Z36" s="83">
        <v>123</v>
      </c>
      <c r="AA36" s="83">
        <v>127</v>
      </c>
      <c r="AB36" s="83">
        <v>120</v>
      </c>
      <c r="AC36" s="83">
        <v>119</v>
      </c>
      <c r="AD36" s="83">
        <v>117</v>
      </c>
      <c r="AE36" s="83">
        <v>128</v>
      </c>
      <c r="AF36" s="83">
        <v>124</v>
      </c>
      <c r="AG36" s="83">
        <v>113</v>
      </c>
      <c r="AH36" s="83">
        <v>116</v>
      </c>
      <c r="AI36" s="83">
        <v>109</v>
      </c>
      <c r="AJ36" s="83">
        <v>110</v>
      </c>
      <c r="AK36" s="83">
        <v>103</v>
      </c>
      <c r="AL36" s="83">
        <v>106</v>
      </c>
      <c r="AM36" s="83">
        <v>110</v>
      </c>
      <c r="AN36" s="83">
        <v>106</v>
      </c>
      <c r="AO36" s="83">
        <v>106</v>
      </c>
      <c r="AP36" s="83">
        <v>101</v>
      </c>
      <c r="AQ36" s="83">
        <v>107</v>
      </c>
      <c r="AR36" s="83">
        <v>106</v>
      </c>
      <c r="AS36" s="83">
        <v>101</v>
      </c>
      <c r="AT36" s="83">
        <v>97</v>
      </c>
      <c r="AU36" s="83">
        <v>98</v>
      </c>
      <c r="AV36" s="83">
        <v>95</v>
      </c>
      <c r="AW36" s="83">
        <v>79</v>
      </c>
    </row>
    <row r="37" spans="1:49" x14ac:dyDescent="0.15">
      <c r="A37" s="83">
        <v>20201203</v>
      </c>
      <c r="B37" s="83">
        <v>58</v>
      </c>
      <c r="C37" s="83">
        <v>41</v>
      </c>
      <c r="D37" s="83">
        <v>39</v>
      </c>
      <c r="E37" s="83">
        <v>36</v>
      </c>
      <c r="F37" s="83">
        <v>37</v>
      </c>
      <c r="G37" s="83">
        <v>41</v>
      </c>
      <c r="H37" s="83">
        <v>41</v>
      </c>
      <c r="I37" s="83">
        <v>38</v>
      </c>
      <c r="J37" s="83">
        <v>36</v>
      </c>
      <c r="K37" s="83">
        <v>35</v>
      </c>
      <c r="L37" s="83">
        <v>39</v>
      </c>
      <c r="M37" s="83">
        <v>48</v>
      </c>
      <c r="N37" s="83">
        <v>97</v>
      </c>
      <c r="O37" s="83">
        <v>93</v>
      </c>
      <c r="P37" s="83">
        <v>107</v>
      </c>
      <c r="Q37" s="83">
        <v>116</v>
      </c>
      <c r="R37" s="83">
        <v>115</v>
      </c>
      <c r="S37" s="83">
        <v>119</v>
      </c>
      <c r="T37" s="83">
        <v>127</v>
      </c>
      <c r="U37" s="83">
        <v>126</v>
      </c>
      <c r="V37" s="83">
        <v>122</v>
      </c>
      <c r="W37" s="83">
        <v>119</v>
      </c>
      <c r="X37" s="83">
        <v>124</v>
      </c>
      <c r="Y37" s="83">
        <v>120</v>
      </c>
      <c r="Z37" s="83">
        <v>123</v>
      </c>
      <c r="AA37" s="83">
        <v>127</v>
      </c>
      <c r="AB37" s="83">
        <v>117</v>
      </c>
      <c r="AC37" s="83">
        <v>117</v>
      </c>
      <c r="AD37" s="83">
        <v>121</v>
      </c>
      <c r="AE37" s="83">
        <v>127</v>
      </c>
      <c r="AF37" s="83">
        <v>116</v>
      </c>
      <c r="AG37" s="83">
        <v>119</v>
      </c>
      <c r="AH37" s="83">
        <v>116</v>
      </c>
      <c r="AI37" s="83">
        <v>114</v>
      </c>
      <c r="AJ37" s="83">
        <v>115</v>
      </c>
      <c r="AK37" s="83">
        <v>112</v>
      </c>
      <c r="AL37" s="83">
        <v>108</v>
      </c>
      <c r="AM37" s="83">
        <v>113</v>
      </c>
      <c r="AN37" s="83">
        <v>113</v>
      </c>
      <c r="AO37" s="83">
        <v>120</v>
      </c>
      <c r="AP37" s="83">
        <v>106</v>
      </c>
      <c r="AQ37" s="83">
        <v>108</v>
      </c>
      <c r="AR37" s="83">
        <v>104</v>
      </c>
      <c r="AS37" s="83">
        <v>100</v>
      </c>
      <c r="AT37" s="83">
        <v>97</v>
      </c>
      <c r="AU37" s="83">
        <v>98</v>
      </c>
      <c r="AV37" s="83">
        <v>95</v>
      </c>
      <c r="AW37" s="83">
        <v>88</v>
      </c>
    </row>
    <row r="38" spans="1:49" x14ac:dyDescent="0.15">
      <c r="A38" s="83">
        <v>20201204</v>
      </c>
      <c r="B38" s="83">
        <v>55</v>
      </c>
      <c r="C38" s="83">
        <v>40</v>
      </c>
      <c r="D38" s="83">
        <v>40</v>
      </c>
      <c r="E38" s="83">
        <v>35</v>
      </c>
      <c r="F38" s="83">
        <v>37</v>
      </c>
      <c r="G38" s="83">
        <v>40</v>
      </c>
      <c r="H38" s="83">
        <v>39</v>
      </c>
      <c r="I38" s="83">
        <v>35</v>
      </c>
      <c r="J38" s="83">
        <v>35</v>
      </c>
      <c r="K38" s="83">
        <v>36</v>
      </c>
      <c r="L38" s="83">
        <v>37</v>
      </c>
      <c r="M38" s="83">
        <v>48</v>
      </c>
      <c r="N38" s="83">
        <v>87</v>
      </c>
      <c r="O38" s="83">
        <v>78</v>
      </c>
      <c r="P38" s="83">
        <v>91</v>
      </c>
      <c r="Q38" s="83">
        <v>102</v>
      </c>
      <c r="R38" s="83">
        <v>97</v>
      </c>
      <c r="S38" s="83">
        <v>120</v>
      </c>
      <c r="T38" s="83">
        <v>115</v>
      </c>
      <c r="U38" s="83">
        <v>115</v>
      </c>
      <c r="V38" s="83">
        <v>114</v>
      </c>
      <c r="W38" s="83">
        <v>114</v>
      </c>
      <c r="X38" s="83">
        <v>116</v>
      </c>
      <c r="Y38" s="83">
        <v>123</v>
      </c>
      <c r="Z38" s="83">
        <v>119</v>
      </c>
      <c r="AA38" s="83">
        <v>119</v>
      </c>
      <c r="AB38" s="83">
        <v>116</v>
      </c>
      <c r="AC38" s="83">
        <v>116</v>
      </c>
      <c r="AD38" s="83">
        <v>116</v>
      </c>
      <c r="AE38" s="83">
        <v>121</v>
      </c>
      <c r="AF38" s="83">
        <v>120</v>
      </c>
      <c r="AG38" s="83">
        <v>117</v>
      </c>
      <c r="AH38" s="83">
        <v>113</v>
      </c>
      <c r="AI38" s="83">
        <v>106</v>
      </c>
      <c r="AJ38" s="83">
        <v>106</v>
      </c>
      <c r="AK38" s="83">
        <v>103</v>
      </c>
      <c r="AL38" s="83">
        <v>101</v>
      </c>
      <c r="AM38" s="83">
        <v>106</v>
      </c>
      <c r="AN38" s="83">
        <v>103</v>
      </c>
      <c r="AO38" s="83">
        <v>101</v>
      </c>
      <c r="AP38" s="83">
        <v>100</v>
      </c>
      <c r="AQ38" s="83">
        <v>99</v>
      </c>
      <c r="AR38" s="83">
        <v>97</v>
      </c>
      <c r="AS38" s="83">
        <v>93</v>
      </c>
      <c r="AT38" s="83">
        <v>88</v>
      </c>
      <c r="AU38" s="83">
        <v>89</v>
      </c>
      <c r="AV38" s="83">
        <v>87</v>
      </c>
      <c r="AW38" s="83">
        <v>87</v>
      </c>
    </row>
    <row r="39" spans="1:49" x14ac:dyDescent="0.15">
      <c r="A39" s="83">
        <v>20201205</v>
      </c>
      <c r="B39" s="83">
        <v>57</v>
      </c>
      <c r="C39" s="83">
        <v>39</v>
      </c>
      <c r="D39" s="83">
        <v>36</v>
      </c>
      <c r="E39" s="83">
        <v>34</v>
      </c>
      <c r="F39" s="83">
        <v>34</v>
      </c>
      <c r="G39" s="83">
        <v>37</v>
      </c>
      <c r="H39" s="83">
        <v>37</v>
      </c>
      <c r="I39" s="83">
        <v>34</v>
      </c>
      <c r="J39" s="83">
        <v>33</v>
      </c>
      <c r="K39" s="83">
        <v>33</v>
      </c>
      <c r="L39" s="83">
        <v>38</v>
      </c>
      <c r="M39" s="83">
        <v>46</v>
      </c>
      <c r="N39" s="83">
        <v>85</v>
      </c>
      <c r="O39" s="83">
        <v>89</v>
      </c>
      <c r="P39" s="83">
        <v>91</v>
      </c>
      <c r="Q39" s="83">
        <v>101</v>
      </c>
      <c r="R39" s="83">
        <v>113</v>
      </c>
      <c r="S39" s="83">
        <v>123</v>
      </c>
      <c r="T39" s="83">
        <v>127</v>
      </c>
      <c r="U39" s="83">
        <v>129</v>
      </c>
      <c r="V39" s="83">
        <v>120</v>
      </c>
      <c r="W39" s="83">
        <v>123</v>
      </c>
      <c r="X39" s="83">
        <v>124</v>
      </c>
      <c r="Y39" s="83">
        <v>123</v>
      </c>
      <c r="Z39" s="83">
        <v>118</v>
      </c>
      <c r="AA39" s="83">
        <v>126</v>
      </c>
      <c r="AB39" s="83">
        <v>123</v>
      </c>
      <c r="AC39" s="83">
        <v>119</v>
      </c>
      <c r="AD39" s="83">
        <v>113</v>
      </c>
      <c r="AE39" s="83">
        <v>126</v>
      </c>
      <c r="AF39" s="83">
        <v>121</v>
      </c>
      <c r="AG39" s="83">
        <v>124</v>
      </c>
      <c r="AH39" s="83">
        <v>120</v>
      </c>
      <c r="AI39" s="83">
        <v>115</v>
      </c>
      <c r="AJ39" s="83">
        <v>112</v>
      </c>
      <c r="AK39" s="83">
        <v>112</v>
      </c>
      <c r="AL39" s="83">
        <v>109</v>
      </c>
      <c r="AM39" s="83">
        <v>113</v>
      </c>
      <c r="AN39" s="83">
        <v>107</v>
      </c>
      <c r="AO39" s="83">
        <v>113</v>
      </c>
      <c r="AP39" s="83">
        <v>117</v>
      </c>
      <c r="AQ39" s="83">
        <v>116</v>
      </c>
      <c r="AR39" s="83">
        <v>112</v>
      </c>
      <c r="AS39" s="83">
        <v>103</v>
      </c>
      <c r="AT39" s="83">
        <v>97</v>
      </c>
      <c r="AU39" s="83">
        <v>98</v>
      </c>
      <c r="AV39" s="83">
        <v>96</v>
      </c>
      <c r="AW39" s="83">
        <v>92</v>
      </c>
    </row>
    <row r="40" spans="1:49" x14ac:dyDescent="0.15">
      <c r="A40" s="83">
        <v>20201206</v>
      </c>
      <c r="B40" s="83">
        <v>54</v>
      </c>
      <c r="C40" s="83">
        <v>41</v>
      </c>
      <c r="D40" s="83">
        <v>38</v>
      </c>
      <c r="E40" s="83">
        <v>34</v>
      </c>
      <c r="F40" s="83">
        <v>36</v>
      </c>
      <c r="G40" s="83">
        <v>39</v>
      </c>
      <c r="H40" s="83">
        <v>39</v>
      </c>
      <c r="I40" s="83">
        <v>36</v>
      </c>
      <c r="J40" s="83">
        <v>34</v>
      </c>
      <c r="K40" s="83">
        <v>35</v>
      </c>
      <c r="L40" s="83">
        <v>38</v>
      </c>
      <c r="M40" s="83">
        <v>49</v>
      </c>
      <c r="N40" s="83">
        <v>102</v>
      </c>
      <c r="O40" s="83">
        <v>98</v>
      </c>
      <c r="P40" s="83">
        <v>110</v>
      </c>
      <c r="Q40" s="83">
        <v>112</v>
      </c>
      <c r="R40" s="83">
        <v>112</v>
      </c>
      <c r="S40" s="83">
        <v>120</v>
      </c>
      <c r="T40" s="83">
        <v>128</v>
      </c>
      <c r="U40" s="83">
        <v>128</v>
      </c>
      <c r="V40" s="83">
        <v>119</v>
      </c>
      <c r="W40" s="83">
        <v>124</v>
      </c>
      <c r="X40" s="83">
        <v>127</v>
      </c>
      <c r="Y40" s="83">
        <v>130</v>
      </c>
      <c r="Z40" s="83">
        <v>125</v>
      </c>
      <c r="AA40" s="83">
        <v>127</v>
      </c>
      <c r="AB40" s="83">
        <v>126</v>
      </c>
      <c r="AC40" s="83">
        <v>123</v>
      </c>
      <c r="AD40" s="83">
        <v>123</v>
      </c>
      <c r="AE40" s="83">
        <v>130</v>
      </c>
      <c r="AF40" s="83">
        <v>129</v>
      </c>
      <c r="AG40" s="83">
        <v>123</v>
      </c>
      <c r="AH40" s="83">
        <v>121</v>
      </c>
      <c r="AI40" s="83">
        <v>119</v>
      </c>
      <c r="AJ40" s="83">
        <v>117</v>
      </c>
      <c r="AK40" s="83">
        <v>116</v>
      </c>
      <c r="AL40" s="83">
        <v>111</v>
      </c>
      <c r="AM40" s="83">
        <v>117</v>
      </c>
      <c r="AN40" s="83">
        <v>111</v>
      </c>
      <c r="AO40" s="83">
        <v>111</v>
      </c>
      <c r="AP40" s="83">
        <v>108</v>
      </c>
      <c r="AQ40" s="83">
        <v>112</v>
      </c>
      <c r="AR40" s="83">
        <v>107</v>
      </c>
      <c r="AS40" s="83">
        <v>102</v>
      </c>
      <c r="AT40" s="83">
        <v>99</v>
      </c>
      <c r="AU40" s="83">
        <v>98</v>
      </c>
      <c r="AV40" s="83">
        <v>96</v>
      </c>
      <c r="AW40" s="83">
        <v>97</v>
      </c>
    </row>
    <row r="41" spans="1:49" x14ac:dyDescent="0.15">
      <c r="A41" s="83">
        <v>20201207</v>
      </c>
      <c r="B41" s="83">
        <v>58</v>
      </c>
      <c r="C41" s="83">
        <v>41</v>
      </c>
      <c r="D41" s="83">
        <v>39</v>
      </c>
      <c r="E41" s="83">
        <v>34</v>
      </c>
      <c r="F41" s="83">
        <v>37</v>
      </c>
      <c r="G41" s="83">
        <v>38</v>
      </c>
      <c r="H41" s="83">
        <v>39</v>
      </c>
      <c r="I41" s="83">
        <v>37</v>
      </c>
      <c r="J41" s="83">
        <v>34</v>
      </c>
      <c r="K41" s="83">
        <v>35</v>
      </c>
      <c r="L41" s="83">
        <v>38</v>
      </c>
      <c r="M41" s="83">
        <v>50</v>
      </c>
      <c r="N41" s="83">
        <v>104</v>
      </c>
      <c r="O41" s="83">
        <v>94</v>
      </c>
      <c r="P41" s="83">
        <v>106</v>
      </c>
      <c r="Q41" s="83">
        <v>114</v>
      </c>
      <c r="R41" s="83">
        <v>112</v>
      </c>
      <c r="S41" s="83">
        <v>131</v>
      </c>
      <c r="T41" s="83">
        <v>126</v>
      </c>
      <c r="U41" s="83">
        <v>126</v>
      </c>
      <c r="V41" s="83">
        <v>119</v>
      </c>
      <c r="W41" s="83">
        <v>124</v>
      </c>
      <c r="X41" s="83">
        <v>125</v>
      </c>
      <c r="Y41" s="83">
        <v>120</v>
      </c>
      <c r="Z41" s="83">
        <v>124</v>
      </c>
      <c r="AA41" s="83">
        <v>127</v>
      </c>
      <c r="AB41" s="83">
        <v>125</v>
      </c>
      <c r="AC41" s="83">
        <v>120</v>
      </c>
      <c r="AD41" s="83">
        <v>117</v>
      </c>
      <c r="AE41" s="83">
        <v>129</v>
      </c>
      <c r="AF41" s="83">
        <v>121</v>
      </c>
      <c r="AG41" s="83">
        <v>124</v>
      </c>
      <c r="AH41" s="83">
        <v>115</v>
      </c>
      <c r="AI41" s="83">
        <v>112</v>
      </c>
      <c r="AJ41" s="83">
        <v>111</v>
      </c>
      <c r="AK41" s="83">
        <v>108</v>
      </c>
      <c r="AL41" s="83">
        <v>106</v>
      </c>
      <c r="AM41" s="83">
        <v>116</v>
      </c>
      <c r="AN41" s="83">
        <v>107</v>
      </c>
      <c r="AO41" s="83">
        <v>108</v>
      </c>
      <c r="AP41" s="83">
        <v>100</v>
      </c>
      <c r="AQ41" s="83">
        <v>109</v>
      </c>
      <c r="AR41" s="83">
        <v>107</v>
      </c>
      <c r="AS41" s="83">
        <v>105</v>
      </c>
      <c r="AT41" s="83">
        <v>99</v>
      </c>
      <c r="AU41" s="83">
        <v>99</v>
      </c>
      <c r="AV41" s="83">
        <v>101</v>
      </c>
      <c r="AW41" s="83">
        <v>90</v>
      </c>
    </row>
    <row r="42" spans="1:49" x14ac:dyDescent="0.15">
      <c r="A42" s="83">
        <v>20201208</v>
      </c>
      <c r="B42" s="83">
        <v>57</v>
      </c>
      <c r="C42" s="83">
        <v>42</v>
      </c>
      <c r="D42" s="83">
        <v>41</v>
      </c>
      <c r="E42" s="83">
        <v>37</v>
      </c>
      <c r="F42" s="83">
        <v>37</v>
      </c>
      <c r="G42" s="83">
        <v>42</v>
      </c>
      <c r="H42" s="83">
        <v>41</v>
      </c>
      <c r="I42" s="83">
        <v>39</v>
      </c>
      <c r="J42" s="83">
        <v>35</v>
      </c>
      <c r="K42" s="83">
        <v>37</v>
      </c>
      <c r="L42" s="83">
        <v>40</v>
      </c>
      <c r="M42" s="83">
        <v>51</v>
      </c>
      <c r="N42" s="83">
        <v>105</v>
      </c>
      <c r="O42" s="83">
        <v>94</v>
      </c>
      <c r="P42" s="83">
        <v>104</v>
      </c>
      <c r="Q42" s="83">
        <v>110</v>
      </c>
      <c r="R42" s="83">
        <v>114</v>
      </c>
      <c r="S42" s="83">
        <v>122</v>
      </c>
      <c r="T42" s="83">
        <v>126</v>
      </c>
      <c r="U42" s="83">
        <v>120</v>
      </c>
      <c r="V42" s="83">
        <v>121</v>
      </c>
      <c r="W42" s="83">
        <v>119</v>
      </c>
      <c r="X42" s="83">
        <v>119</v>
      </c>
      <c r="Y42" s="83">
        <v>123</v>
      </c>
      <c r="Z42" s="83">
        <v>114</v>
      </c>
      <c r="AA42" s="83">
        <v>125</v>
      </c>
      <c r="AB42" s="83">
        <v>120</v>
      </c>
      <c r="AC42" s="83">
        <v>117</v>
      </c>
      <c r="AD42" s="83">
        <v>114</v>
      </c>
      <c r="AE42" s="83">
        <v>116</v>
      </c>
      <c r="AF42" s="83">
        <v>117</v>
      </c>
      <c r="AG42" s="83">
        <v>113</v>
      </c>
      <c r="AH42" s="83">
        <v>112</v>
      </c>
      <c r="AI42" s="83">
        <v>109</v>
      </c>
      <c r="AJ42" s="83">
        <v>111</v>
      </c>
      <c r="AK42" s="83">
        <v>108</v>
      </c>
      <c r="AL42" s="83">
        <v>108</v>
      </c>
      <c r="AM42" s="83">
        <v>111</v>
      </c>
      <c r="AN42" s="83">
        <v>109</v>
      </c>
      <c r="AO42" s="83">
        <v>107</v>
      </c>
      <c r="AP42" s="83">
        <v>105</v>
      </c>
      <c r="AQ42" s="83">
        <v>106</v>
      </c>
      <c r="AR42" s="83">
        <v>104</v>
      </c>
      <c r="AS42" s="83">
        <v>98</v>
      </c>
      <c r="AT42" s="83">
        <v>97</v>
      </c>
      <c r="AU42" s="83">
        <v>95</v>
      </c>
      <c r="AV42" s="83">
        <v>95</v>
      </c>
      <c r="AW42" s="83">
        <v>86</v>
      </c>
    </row>
    <row r="43" spans="1:49" x14ac:dyDescent="0.15">
      <c r="A43" s="83">
        <v>20201209</v>
      </c>
      <c r="B43" s="83">
        <v>58</v>
      </c>
      <c r="C43" s="83">
        <v>41</v>
      </c>
      <c r="D43" s="83">
        <v>39</v>
      </c>
      <c r="E43" s="83">
        <v>35</v>
      </c>
      <c r="F43" s="83">
        <v>36</v>
      </c>
      <c r="G43" s="83">
        <v>39</v>
      </c>
      <c r="H43" s="83">
        <v>39</v>
      </c>
      <c r="I43" s="83">
        <v>37</v>
      </c>
      <c r="J43" s="83">
        <v>33</v>
      </c>
      <c r="K43" s="83">
        <v>35</v>
      </c>
      <c r="L43" s="83">
        <v>34</v>
      </c>
      <c r="M43" s="83">
        <v>38</v>
      </c>
      <c r="N43" s="83">
        <v>96</v>
      </c>
      <c r="O43" s="83">
        <v>100</v>
      </c>
      <c r="P43" s="83">
        <v>100</v>
      </c>
      <c r="Q43" s="83">
        <v>112</v>
      </c>
      <c r="R43" s="83">
        <v>110</v>
      </c>
      <c r="S43" s="83">
        <v>122</v>
      </c>
      <c r="T43" s="83">
        <v>126</v>
      </c>
      <c r="U43" s="83">
        <v>121</v>
      </c>
      <c r="V43" s="83">
        <v>120</v>
      </c>
      <c r="W43" s="83">
        <v>117</v>
      </c>
      <c r="X43" s="83">
        <v>117</v>
      </c>
      <c r="Y43" s="83">
        <v>116</v>
      </c>
      <c r="Z43" s="83">
        <v>122</v>
      </c>
      <c r="AA43" s="83">
        <v>121</v>
      </c>
      <c r="AB43" s="83">
        <v>112</v>
      </c>
      <c r="AC43" s="83">
        <v>121</v>
      </c>
      <c r="AD43" s="83">
        <v>117</v>
      </c>
      <c r="AE43" s="83">
        <v>123</v>
      </c>
      <c r="AF43" s="83">
        <v>116</v>
      </c>
      <c r="AG43" s="83">
        <v>118</v>
      </c>
      <c r="AH43" s="83">
        <v>115</v>
      </c>
      <c r="AI43" s="83">
        <v>115</v>
      </c>
      <c r="AJ43" s="83">
        <v>109</v>
      </c>
      <c r="AK43" s="83">
        <v>110</v>
      </c>
      <c r="AL43" s="83">
        <v>107</v>
      </c>
      <c r="AM43" s="83">
        <v>112</v>
      </c>
      <c r="AN43" s="83">
        <v>107</v>
      </c>
      <c r="AO43" s="83">
        <v>104</v>
      </c>
      <c r="AP43" s="83">
        <v>98</v>
      </c>
      <c r="AQ43" s="83">
        <v>103</v>
      </c>
      <c r="AR43" s="83">
        <v>100</v>
      </c>
      <c r="AS43" s="83">
        <v>95</v>
      </c>
      <c r="AT43" s="83">
        <v>89</v>
      </c>
      <c r="AU43" s="83">
        <v>91</v>
      </c>
      <c r="AV43" s="83">
        <v>90</v>
      </c>
      <c r="AW43" s="83">
        <v>75</v>
      </c>
    </row>
    <row r="44" spans="1:49" x14ac:dyDescent="0.15">
      <c r="A44" s="83">
        <v>20201210</v>
      </c>
      <c r="B44" s="83">
        <v>58</v>
      </c>
      <c r="C44" s="83">
        <v>40</v>
      </c>
      <c r="D44" s="83">
        <v>37</v>
      </c>
      <c r="E44" s="83">
        <v>34</v>
      </c>
      <c r="F44" s="83">
        <v>34</v>
      </c>
      <c r="G44" s="83">
        <v>36</v>
      </c>
      <c r="H44" s="83">
        <v>36</v>
      </c>
      <c r="I44" s="83">
        <v>33</v>
      </c>
      <c r="J44" s="83">
        <v>33</v>
      </c>
      <c r="K44" s="83">
        <v>31</v>
      </c>
      <c r="L44" s="83">
        <v>34</v>
      </c>
      <c r="M44" s="83">
        <v>47</v>
      </c>
      <c r="N44" s="83">
        <v>100</v>
      </c>
      <c r="O44" s="83">
        <v>89</v>
      </c>
      <c r="P44" s="83">
        <v>105</v>
      </c>
      <c r="Q44" s="83">
        <v>110</v>
      </c>
      <c r="R44" s="83">
        <v>110</v>
      </c>
      <c r="S44" s="83">
        <v>122</v>
      </c>
      <c r="T44" s="83">
        <v>122</v>
      </c>
      <c r="U44" s="83">
        <v>120</v>
      </c>
      <c r="V44" s="83">
        <v>121</v>
      </c>
      <c r="W44" s="83">
        <v>120</v>
      </c>
      <c r="X44" s="83">
        <v>126</v>
      </c>
      <c r="Y44" s="83">
        <v>123</v>
      </c>
      <c r="Z44" s="83">
        <v>125</v>
      </c>
      <c r="AA44" s="83">
        <v>123</v>
      </c>
      <c r="AB44" s="83">
        <v>114</v>
      </c>
      <c r="AC44" s="83">
        <v>126</v>
      </c>
      <c r="AD44" s="83">
        <v>114</v>
      </c>
      <c r="AE44" s="83">
        <v>126</v>
      </c>
      <c r="AF44" s="83">
        <v>120</v>
      </c>
      <c r="AG44" s="83">
        <v>117</v>
      </c>
      <c r="AH44" s="83">
        <v>113</v>
      </c>
      <c r="AI44" s="83">
        <v>113</v>
      </c>
      <c r="AJ44" s="83">
        <v>109</v>
      </c>
      <c r="AK44" s="83">
        <v>109</v>
      </c>
      <c r="AL44" s="83">
        <v>101</v>
      </c>
      <c r="AM44" s="83">
        <v>116</v>
      </c>
      <c r="AN44" s="83">
        <v>115</v>
      </c>
      <c r="AO44" s="83">
        <v>110</v>
      </c>
      <c r="AP44" s="83">
        <v>108</v>
      </c>
      <c r="AQ44" s="83">
        <v>117</v>
      </c>
      <c r="AR44" s="83">
        <v>108</v>
      </c>
      <c r="AS44" s="83">
        <v>105</v>
      </c>
      <c r="AT44" s="83">
        <v>99</v>
      </c>
      <c r="AU44" s="83">
        <v>95</v>
      </c>
      <c r="AV44" s="83">
        <v>99</v>
      </c>
      <c r="AW44" s="83">
        <v>88</v>
      </c>
    </row>
    <row r="45" spans="1:49" x14ac:dyDescent="0.15">
      <c r="A45" s="83">
        <v>20201211</v>
      </c>
      <c r="B45" s="83">
        <v>54</v>
      </c>
      <c r="C45" s="83">
        <v>42</v>
      </c>
      <c r="D45" s="83">
        <v>41</v>
      </c>
      <c r="E45" s="83">
        <v>35</v>
      </c>
      <c r="F45" s="83">
        <v>37</v>
      </c>
      <c r="G45" s="83">
        <v>40</v>
      </c>
      <c r="H45" s="83">
        <v>39</v>
      </c>
      <c r="I45" s="83">
        <v>37</v>
      </c>
      <c r="J45" s="83">
        <v>36</v>
      </c>
      <c r="K45" s="83">
        <v>35</v>
      </c>
      <c r="L45" s="83">
        <v>38</v>
      </c>
      <c r="M45" s="83">
        <v>62</v>
      </c>
      <c r="N45" s="83">
        <v>100</v>
      </c>
      <c r="O45" s="83">
        <v>97</v>
      </c>
      <c r="P45" s="83">
        <v>108</v>
      </c>
      <c r="Q45" s="83">
        <v>113</v>
      </c>
      <c r="R45" s="83">
        <v>109</v>
      </c>
      <c r="S45" s="83">
        <v>121</v>
      </c>
      <c r="T45" s="83">
        <v>133</v>
      </c>
      <c r="U45" s="83">
        <v>122</v>
      </c>
      <c r="V45" s="83">
        <v>120</v>
      </c>
      <c r="W45" s="83">
        <v>116</v>
      </c>
      <c r="X45" s="83">
        <v>124</v>
      </c>
      <c r="Y45" s="83">
        <v>124</v>
      </c>
      <c r="Z45" s="83">
        <v>124</v>
      </c>
      <c r="AA45" s="83">
        <v>127</v>
      </c>
      <c r="AB45" s="83">
        <v>126</v>
      </c>
      <c r="AC45" s="83">
        <v>119</v>
      </c>
      <c r="AD45" s="83">
        <v>118</v>
      </c>
      <c r="AE45" s="83">
        <v>126</v>
      </c>
      <c r="AF45" s="83">
        <v>119</v>
      </c>
      <c r="AG45" s="83">
        <v>120</v>
      </c>
      <c r="AH45" s="83">
        <v>113</v>
      </c>
      <c r="AI45" s="83">
        <v>113</v>
      </c>
      <c r="AJ45" s="83">
        <v>111</v>
      </c>
      <c r="AK45" s="83">
        <v>112</v>
      </c>
      <c r="AL45" s="83">
        <v>110</v>
      </c>
      <c r="AM45" s="83">
        <v>119</v>
      </c>
      <c r="AN45" s="83">
        <v>109</v>
      </c>
      <c r="AO45" s="83">
        <v>113</v>
      </c>
      <c r="AP45" s="83">
        <v>103</v>
      </c>
      <c r="AQ45" s="83">
        <v>112</v>
      </c>
      <c r="AR45" s="83">
        <v>108</v>
      </c>
      <c r="AS45" s="83">
        <v>105</v>
      </c>
      <c r="AT45" s="83">
        <v>100</v>
      </c>
      <c r="AU45" s="83">
        <v>99</v>
      </c>
      <c r="AV45" s="83">
        <v>99</v>
      </c>
      <c r="AW45" s="83">
        <v>99</v>
      </c>
    </row>
    <row r="46" spans="1:49" x14ac:dyDescent="0.15">
      <c r="A46" s="83">
        <v>20201212</v>
      </c>
      <c r="B46" s="83">
        <v>77</v>
      </c>
      <c r="C46" s="83">
        <v>60</v>
      </c>
      <c r="D46" s="83">
        <v>57</v>
      </c>
      <c r="E46" s="83">
        <v>55</v>
      </c>
      <c r="F46" s="83">
        <v>55</v>
      </c>
      <c r="G46" s="83">
        <v>61</v>
      </c>
      <c r="H46" s="83">
        <v>58</v>
      </c>
      <c r="I46" s="83">
        <v>58</v>
      </c>
      <c r="J46" s="83">
        <v>54</v>
      </c>
      <c r="K46" s="83">
        <v>55</v>
      </c>
      <c r="L46" s="83">
        <v>58</v>
      </c>
      <c r="M46" s="83">
        <v>68</v>
      </c>
      <c r="N46" s="83">
        <v>107</v>
      </c>
      <c r="O46" s="83">
        <v>97</v>
      </c>
      <c r="P46" s="83">
        <v>113</v>
      </c>
      <c r="Q46" s="83">
        <v>116</v>
      </c>
      <c r="R46" s="83">
        <v>121</v>
      </c>
      <c r="S46" s="83">
        <v>126</v>
      </c>
      <c r="T46" s="83">
        <v>135</v>
      </c>
      <c r="U46" s="83">
        <v>129</v>
      </c>
      <c r="V46" s="83">
        <v>121</v>
      </c>
      <c r="W46" s="83">
        <v>126</v>
      </c>
      <c r="X46" s="83">
        <v>126</v>
      </c>
      <c r="Y46" s="83">
        <v>123</v>
      </c>
      <c r="Z46" s="83">
        <v>121</v>
      </c>
      <c r="AA46" s="83">
        <v>128</v>
      </c>
      <c r="AB46" s="83">
        <v>120</v>
      </c>
      <c r="AC46" s="83">
        <v>124</v>
      </c>
      <c r="AD46" s="83">
        <v>116</v>
      </c>
      <c r="AE46" s="83">
        <v>126</v>
      </c>
      <c r="AF46" s="83">
        <v>121</v>
      </c>
      <c r="AG46" s="83">
        <v>124</v>
      </c>
      <c r="AH46" s="83">
        <v>112</v>
      </c>
      <c r="AI46" s="83">
        <v>117</v>
      </c>
      <c r="AJ46" s="83">
        <v>115</v>
      </c>
      <c r="AK46" s="83">
        <v>109</v>
      </c>
      <c r="AL46" s="83">
        <v>113</v>
      </c>
      <c r="AM46" s="83">
        <v>109</v>
      </c>
      <c r="AN46" s="83">
        <v>106</v>
      </c>
      <c r="AO46" s="83">
        <v>104</v>
      </c>
      <c r="AP46" s="83">
        <v>100</v>
      </c>
      <c r="AQ46" s="83">
        <v>108</v>
      </c>
      <c r="AR46" s="83">
        <v>105</v>
      </c>
      <c r="AS46" s="83">
        <v>101</v>
      </c>
      <c r="AT46" s="83">
        <v>98</v>
      </c>
      <c r="AU46" s="83">
        <v>96</v>
      </c>
      <c r="AV46" s="83">
        <v>99</v>
      </c>
      <c r="AW46" s="83">
        <v>91</v>
      </c>
    </row>
    <row r="47" spans="1:49" x14ac:dyDescent="0.15">
      <c r="A47" s="83">
        <v>20201213</v>
      </c>
      <c r="B47" s="83">
        <v>68</v>
      </c>
      <c r="C47" s="83">
        <v>56</v>
      </c>
      <c r="D47" s="83">
        <v>55</v>
      </c>
      <c r="E47" s="83">
        <v>53</v>
      </c>
      <c r="F47" s="83">
        <v>55</v>
      </c>
      <c r="G47" s="83">
        <v>57</v>
      </c>
      <c r="H47" s="83">
        <v>49</v>
      </c>
      <c r="I47" s="83">
        <v>37</v>
      </c>
      <c r="J47" s="83">
        <v>36</v>
      </c>
      <c r="K47" s="83">
        <v>36</v>
      </c>
      <c r="L47" s="83">
        <v>39</v>
      </c>
      <c r="M47" s="83">
        <v>51</v>
      </c>
      <c r="N47" s="83">
        <v>88</v>
      </c>
      <c r="O47" s="83">
        <v>79</v>
      </c>
      <c r="P47" s="83">
        <v>94</v>
      </c>
      <c r="Q47" s="83">
        <v>103</v>
      </c>
      <c r="R47" s="83">
        <v>96</v>
      </c>
      <c r="S47" s="83">
        <v>114</v>
      </c>
      <c r="T47" s="83">
        <v>110</v>
      </c>
      <c r="U47" s="83">
        <v>113</v>
      </c>
      <c r="V47" s="83">
        <v>110</v>
      </c>
      <c r="W47" s="83">
        <v>112</v>
      </c>
      <c r="X47" s="83">
        <v>114</v>
      </c>
      <c r="Y47" s="83">
        <v>116</v>
      </c>
      <c r="Z47" s="83">
        <v>120</v>
      </c>
      <c r="AA47" s="83">
        <v>117</v>
      </c>
      <c r="AB47" s="83">
        <v>110</v>
      </c>
      <c r="AC47" s="83">
        <v>119</v>
      </c>
      <c r="AD47" s="83">
        <v>111</v>
      </c>
      <c r="AE47" s="83">
        <v>116</v>
      </c>
      <c r="AF47" s="83">
        <v>115</v>
      </c>
      <c r="AG47" s="83">
        <v>114</v>
      </c>
      <c r="AH47" s="83">
        <v>113</v>
      </c>
      <c r="AI47" s="83">
        <v>110</v>
      </c>
      <c r="AJ47" s="83">
        <v>111</v>
      </c>
      <c r="AK47" s="83">
        <v>106</v>
      </c>
      <c r="AL47" s="83">
        <v>102</v>
      </c>
      <c r="AM47" s="83">
        <v>104</v>
      </c>
      <c r="AN47" s="83">
        <v>108</v>
      </c>
      <c r="AO47" s="83">
        <v>100</v>
      </c>
      <c r="AP47" s="83">
        <v>97</v>
      </c>
      <c r="AQ47" s="83">
        <v>100</v>
      </c>
      <c r="AR47" s="83">
        <v>96</v>
      </c>
      <c r="AS47" s="83">
        <v>90</v>
      </c>
      <c r="AT47" s="83">
        <v>88</v>
      </c>
      <c r="AU47" s="83">
        <v>91</v>
      </c>
      <c r="AV47" s="83">
        <v>86</v>
      </c>
      <c r="AW47" s="83">
        <v>87</v>
      </c>
    </row>
    <row r="48" spans="1:49" x14ac:dyDescent="0.15">
      <c r="A48" s="83">
        <v>20201214</v>
      </c>
      <c r="B48" s="83">
        <v>55</v>
      </c>
      <c r="C48" s="83">
        <v>40</v>
      </c>
      <c r="D48" s="83">
        <v>38</v>
      </c>
      <c r="E48" s="83">
        <v>35</v>
      </c>
      <c r="F48" s="83">
        <v>36</v>
      </c>
      <c r="G48" s="83">
        <v>38</v>
      </c>
      <c r="H48" s="83">
        <v>38</v>
      </c>
      <c r="I48" s="83">
        <v>37</v>
      </c>
      <c r="J48" s="83">
        <v>33</v>
      </c>
      <c r="K48" s="83">
        <v>34</v>
      </c>
      <c r="L48" s="83">
        <v>36</v>
      </c>
      <c r="M48" s="83">
        <v>48</v>
      </c>
      <c r="N48" s="83">
        <v>95</v>
      </c>
      <c r="O48" s="83">
        <v>88</v>
      </c>
      <c r="P48" s="83">
        <v>102</v>
      </c>
      <c r="Q48" s="83">
        <v>114</v>
      </c>
      <c r="R48" s="83">
        <v>116</v>
      </c>
      <c r="S48" s="83">
        <v>121</v>
      </c>
      <c r="T48" s="83">
        <v>123</v>
      </c>
      <c r="U48" s="83">
        <v>120</v>
      </c>
      <c r="V48" s="83">
        <v>118</v>
      </c>
      <c r="W48" s="83">
        <v>112</v>
      </c>
      <c r="X48" s="83">
        <v>113</v>
      </c>
      <c r="Y48" s="83">
        <v>117</v>
      </c>
      <c r="Z48" s="83">
        <v>120</v>
      </c>
      <c r="AA48" s="83">
        <v>120</v>
      </c>
      <c r="AB48" s="83">
        <v>116</v>
      </c>
      <c r="AC48" s="83">
        <v>117</v>
      </c>
      <c r="AD48" s="83">
        <v>111</v>
      </c>
      <c r="AE48" s="83">
        <v>120</v>
      </c>
      <c r="AF48" s="83">
        <v>111</v>
      </c>
      <c r="AG48" s="83">
        <v>117</v>
      </c>
      <c r="AH48" s="83">
        <v>106</v>
      </c>
      <c r="AI48" s="83">
        <v>103</v>
      </c>
      <c r="AJ48" s="83">
        <v>102</v>
      </c>
      <c r="AK48" s="83">
        <v>106</v>
      </c>
      <c r="AL48" s="83">
        <v>109</v>
      </c>
      <c r="AM48" s="83">
        <v>110</v>
      </c>
      <c r="AN48" s="83">
        <v>104</v>
      </c>
      <c r="AO48" s="83">
        <v>109</v>
      </c>
      <c r="AP48" s="83">
        <v>97</v>
      </c>
      <c r="AQ48" s="83">
        <v>101</v>
      </c>
      <c r="AR48" s="83">
        <v>94</v>
      </c>
      <c r="AS48" s="83">
        <v>92</v>
      </c>
      <c r="AT48" s="83">
        <v>88</v>
      </c>
      <c r="AU48" s="83">
        <v>88</v>
      </c>
      <c r="AV48" s="83">
        <v>87</v>
      </c>
      <c r="AW48" s="83">
        <v>79</v>
      </c>
    </row>
    <row r="49" spans="1:49" x14ac:dyDescent="0.15">
      <c r="A49" s="83">
        <v>20201215</v>
      </c>
      <c r="B49" s="83">
        <v>51</v>
      </c>
      <c r="C49" s="83">
        <v>39</v>
      </c>
      <c r="D49" s="83">
        <v>36</v>
      </c>
      <c r="E49" s="83">
        <v>33</v>
      </c>
      <c r="F49" s="83">
        <v>33</v>
      </c>
      <c r="G49" s="83">
        <v>36</v>
      </c>
      <c r="H49" s="83">
        <v>35</v>
      </c>
      <c r="I49" s="83">
        <v>33</v>
      </c>
      <c r="J49" s="83">
        <v>31</v>
      </c>
      <c r="K49" s="83">
        <v>32</v>
      </c>
      <c r="L49" s="83">
        <v>31</v>
      </c>
      <c r="M49" s="83">
        <v>42</v>
      </c>
      <c r="N49" s="83">
        <v>97</v>
      </c>
      <c r="O49" s="83">
        <v>102</v>
      </c>
      <c r="P49" s="83">
        <v>100</v>
      </c>
      <c r="Q49" s="83">
        <v>116</v>
      </c>
      <c r="R49" s="83">
        <v>112</v>
      </c>
      <c r="S49" s="83">
        <v>119</v>
      </c>
      <c r="T49" s="83">
        <v>120</v>
      </c>
      <c r="U49" s="83">
        <v>117</v>
      </c>
      <c r="V49" s="83">
        <v>114</v>
      </c>
      <c r="W49" s="83">
        <v>114</v>
      </c>
      <c r="X49" s="83">
        <v>114</v>
      </c>
      <c r="Y49" s="83">
        <v>119</v>
      </c>
      <c r="Z49" s="83">
        <v>120</v>
      </c>
      <c r="AA49" s="83">
        <v>121</v>
      </c>
      <c r="AB49" s="83">
        <v>116</v>
      </c>
      <c r="AC49" s="83">
        <v>121</v>
      </c>
      <c r="AD49" s="83">
        <v>108</v>
      </c>
      <c r="AE49" s="83">
        <v>113</v>
      </c>
      <c r="AF49" s="83">
        <v>114</v>
      </c>
      <c r="AG49" s="83">
        <v>109</v>
      </c>
      <c r="AH49" s="83">
        <v>113</v>
      </c>
      <c r="AI49" s="83">
        <v>112</v>
      </c>
      <c r="AJ49" s="83">
        <v>112</v>
      </c>
      <c r="AK49" s="83">
        <v>107</v>
      </c>
      <c r="AL49" s="83">
        <v>106</v>
      </c>
      <c r="AM49" s="83">
        <v>108</v>
      </c>
      <c r="AN49" s="83">
        <v>107</v>
      </c>
      <c r="AO49" s="83">
        <v>107</v>
      </c>
      <c r="AP49" s="83">
        <v>104</v>
      </c>
      <c r="AQ49" s="83">
        <v>101</v>
      </c>
      <c r="AR49" s="83">
        <v>100</v>
      </c>
      <c r="AS49" s="83">
        <v>92</v>
      </c>
      <c r="AT49" s="83">
        <v>90</v>
      </c>
      <c r="AU49" s="83">
        <v>90</v>
      </c>
      <c r="AV49" s="83">
        <v>89</v>
      </c>
      <c r="AW49" s="83">
        <v>85</v>
      </c>
    </row>
    <row r="50" spans="1:49" x14ac:dyDescent="0.15">
      <c r="A50" s="83">
        <v>20201216</v>
      </c>
      <c r="B50" s="83">
        <v>58</v>
      </c>
      <c r="C50" s="83">
        <v>38</v>
      </c>
      <c r="D50" s="83">
        <v>36</v>
      </c>
      <c r="E50" s="83">
        <v>32</v>
      </c>
      <c r="F50" s="83">
        <v>32</v>
      </c>
      <c r="G50" s="83">
        <v>35</v>
      </c>
      <c r="H50" s="83">
        <v>33</v>
      </c>
      <c r="I50" s="83">
        <v>32</v>
      </c>
      <c r="J50" s="83">
        <v>29</v>
      </c>
      <c r="K50" s="83">
        <v>30</v>
      </c>
      <c r="L50" s="83">
        <v>31</v>
      </c>
      <c r="M50" s="83">
        <v>36</v>
      </c>
      <c r="N50" s="83">
        <v>96</v>
      </c>
      <c r="O50" s="83">
        <v>97</v>
      </c>
      <c r="P50" s="83">
        <v>99</v>
      </c>
      <c r="Q50" s="83">
        <v>115</v>
      </c>
      <c r="R50" s="83">
        <v>116</v>
      </c>
      <c r="S50" s="83">
        <v>117</v>
      </c>
      <c r="T50" s="83">
        <v>120</v>
      </c>
      <c r="U50" s="83">
        <v>113</v>
      </c>
      <c r="V50" s="83">
        <v>115</v>
      </c>
      <c r="W50" s="83">
        <v>113</v>
      </c>
      <c r="X50" s="83">
        <v>119</v>
      </c>
      <c r="Y50" s="83">
        <v>124</v>
      </c>
      <c r="Z50" s="83">
        <v>121</v>
      </c>
      <c r="AA50" s="83">
        <v>126</v>
      </c>
      <c r="AB50" s="83">
        <v>117</v>
      </c>
      <c r="AC50" s="83">
        <v>117</v>
      </c>
      <c r="AD50" s="83">
        <v>113</v>
      </c>
      <c r="AE50" s="83">
        <v>122</v>
      </c>
      <c r="AF50" s="83">
        <v>116</v>
      </c>
      <c r="AG50" s="83">
        <v>110</v>
      </c>
      <c r="AH50" s="83">
        <v>112</v>
      </c>
      <c r="AI50" s="83">
        <v>110</v>
      </c>
      <c r="AJ50" s="83">
        <v>111</v>
      </c>
      <c r="AK50" s="83">
        <v>105</v>
      </c>
      <c r="AL50" s="83">
        <v>105</v>
      </c>
      <c r="AM50" s="83">
        <v>110</v>
      </c>
      <c r="AN50" s="83">
        <v>114</v>
      </c>
      <c r="AO50" s="83">
        <v>106</v>
      </c>
      <c r="AP50" s="83">
        <v>105</v>
      </c>
      <c r="AQ50" s="83">
        <v>107</v>
      </c>
      <c r="AR50" s="83">
        <v>99</v>
      </c>
      <c r="AS50" s="83">
        <v>92</v>
      </c>
      <c r="AT50" s="83">
        <v>88</v>
      </c>
      <c r="AU50" s="83">
        <v>89</v>
      </c>
      <c r="AV50" s="83">
        <v>87</v>
      </c>
      <c r="AW50" s="83">
        <v>82</v>
      </c>
    </row>
    <row r="51" spans="1:49" x14ac:dyDescent="0.15">
      <c r="A51" s="83">
        <v>20201217</v>
      </c>
      <c r="B51" s="83">
        <v>52</v>
      </c>
      <c r="C51" s="83">
        <v>37</v>
      </c>
      <c r="D51" s="83">
        <v>35</v>
      </c>
      <c r="E51" s="83">
        <v>32</v>
      </c>
      <c r="F51" s="83">
        <v>33</v>
      </c>
      <c r="G51" s="83">
        <v>34</v>
      </c>
      <c r="H51" s="83">
        <v>34</v>
      </c>
      <c r="I51" s="83">
        <v>32</v>
      </c>
      <c r="J51" s="83">
        <v>30</v>
      </c>
      <c r="K51" s="83">
        <v>30</v>
      </c>
      <c r="L51" s="83">
        <v>34</v>
      </c>
      <c r="M51" s="83">
        <v>46</v>
      </c>
      <c r="N51" s="83">
        <v>100</v>
      </c>
      <c r="O51" s="83">
        <v>88</v>
      </c>
      <c r="P51" s="83">
        <v>107</v>
      </c>
      <c r="Q51" s="83">
        <v>114</v>
      </c>
      <c r="R51" s="83">
        <v>113</v>
      </c>
      <c r="S51" s="83">
        <v>122</v>
      </c>
      <c r="T51" s="83">
        <v>125</v>
      </c>
      <c r="U51" s="83">
        <v>125</v>
      </c>
      <c r="V51" s="83">
        <v>117</v>
      </c>
      <c r="W51" s="83">
        <v>119</v>
      </c>
      <c r="X51" s="83">
        <v>122</v>
      </c>
      <c r="Y51" s="83">
        <v>125</v>
      </c>
      <c r="Z51" s="83">
        <v>125</v>
      </c>
      <c r="AA51" s="83">
        <v>121</v>
      </c>
      <c r="AB51" s="83">
        <v>118</v>
      </c>
      <c r="AC51" s="83">
        <v>127</v>
      </c>
      <c r="AD51" s="83">
        <v>120</v>
      </c>
      <c r="AE51" s="83">
        <v>126</v>
      </c>
      <c r="AF51" s="83">
        <v>121</v>
      </c>
      <c r="AG51" s="83">
        <v>112</v>
      </c>
      <c r="AH51" s="83">
        <v>112</v>
      </c>
      <c r="AI51" s="83">
        <v>112</v>
      </c>
      <c r="AJ51" s="83">
        <v>110</v>
      </c>
      <c r="AK51" s="83">
        <v>108</v>
      </c>
      <c r="AL51" s="83">
        <v>109</v>
      </c>
      <c r="AM51" s="83">
        <v>113</v>
      </c>
      <c r="AN51" s="83">
        <v>117</v>
      </c>
      <c r="AO51" s="83">
        <v>112</v>
      </c>
      <c r="AP51" s="83">
        <v>110</v>
      </c>
      <c r="AQ51" s="83">
        <v>105</v>
      </c>
      <c r="AR51" s="83">
        <v>101</v>
      </c>
      <c r="AS51" s="83">
        <v>94</v>
      </c>
      <c r="AT51" s="83">
        <v>91</v>
      </c>
      <c r="AU51" s="83">
        <v>91</v>
      </c>
      <c r="AV51" s="83">
        <v>90</v>
      </c>
      <c r="AW51" s="83">
        <v>81</v>
      </c>
    </row>
    <row r="52" spans="1:49" x14ac:dyDescent="0.15">
      <c r="A52" s="83">
        <v>20201218</v>
      </c>
      <c r="B52" s="83">
        <v>50</v>
      </c>
      <c r="C52" s="83">
        <v>38</v>
      </c>
      <c r="D52" s="83">
        <v>36</v>
      </c>
      <c r="E52" s="83">
        <v>32</v>
      </c>
      <c r="F52" s="83">
        <v>33</v>
      </c>
      <c r="G52" s="83">
        <v>36</v>
      </c>
      <c r="H52" s="83">
        <v>34</v>
      </c>
      <c r="I52" s="83">
        <v>32</v>
      </c>
      <c r="J52" s="83">
        <v>30</v>
      </c>
      <c r="K52" s="83">
        <v>31</v>
      </c>
      <c r="L52" s="83">
        <v>34</v>
      </c>
      <c r="M52" s="83">
        <v>45</v>
      </c>
      <c r="N52" s="83">
        <v>100</v>
      </c>
      <c r="O52" s="83">
        <v>92</v>
      </c>
      <c r="P52" s="83">
        <v>105</v>
      </c>
      <c r="Q52" s="83">
        <v>105</v>
      </c>
      <c r="R52" s="83">
        <v>112</v>
      </c>
      <c r="S52" s="83">
        <v>117</v>
      </c>
      <c r="T52" s="83">
        <v>123</v>
      </c>
      <c r="U52" s="83">
        <v>117</v>
      </c>
      <c r="V52" s="83">
        <v>114</v>
      </c>
      <c r="W52" s="83">
        <v>114</v>
      </c>
      <c r="X52" s="83">
        <v>115</v>
      </c>
      <c r="Y52" s="83">
        <v>115</v>
      </c>
      <c r="Z52" s="83">
        <v>116</v>
      </c>
      <c r="AA52" s="83">
        <v>117</v>
      </c>
      <c r="AB52" s="83">
        <v>117</v>
      </c>
      <c r="AC52" s="83">
        <v>115</v>
      </c>
      <c r="AD52" s="83">
        <v>114</v>
      </c>
      <c r="AE52" s="83">
        <v>115</v>
      </c>
      <c r="AF52" s="83">
        <v>109</v>
      </c>
      <c r="AG52" s="83">
        <v>110</v>
      </c>
      <c r="AH52" s="83">
        <v>109</v>
      </c>
      <c r="AI52" s="83">
        <v>109</v>
      </c>
      <c r="AJ52" s="83">
        <v>106</v>
      </c>
      <c r="AK52" s="83">
        <v>110</v>
      </c>
      <c r="AL52" s="83">
        <v>103</v>
      </c>
      <c r="AM52" s="83">
        <v>107</v>
      </c>
      <c r="AN52" s="83">
        <v>109</v>
      </c>
      <c r="AO52" s="83">
        <v>110</v>
      </c>
      <c r="AP52" s="83">
        <v>106</v>
      </c>
      <c r="AQ52" s="83">
        <v>103</v>
      </c>
      <c r="AR52" s="83">
        <v>97</v>
      </c>
      <c r="AS52" s="83">
        <v>94</v>
      </c>
      <c r="AT52" s="83">
        <v>89</v>
      </c>
      <c r="AU52" s="83">
        <v>90</v>
      </c>
      <c r="AV52" s="83">
        <v>90</v>
      </c>
      <c r="AW52" s="83">
        <v>89</v>
      </c>
    </row>
    <row r="53" spans="1:49" x14ac:dyDescent="0.15">
      <c r="A53" s="83">
        <v>20201219</v>
      </c>
      <c r="B53" s="83">
        <v>55</v>
      </c>
      <c r="C53" s="83">
        <v>40</v>
      </c>
      <c r="D53" s="83">
        <v>38</v>
      </c>
      <c r="E53" s="83">
        <v>33</v>
      </c>
      <c r="F53" s="83">
        <v>35</v>
      </c>
      <c r="G53" s="83">
        <v>37</v>
      </c>
      <c r="H53" s="83">
        <v>36</v>
      </c>
      <c r="I53" s="83">
        <v>35</v>
      </c>
      <c r="J53" s="83">
        <v>32</v>
      </c>
      <c r="K53" s="83">
        <v>33</v>
      </c>
      <c r="L53" s="83">
        <v>35</v>
      </c>
      <c r="M53" s="83">
        <v>46</v>
      </c>
      <c r="N53" s="83">
        <v>101</v>
      </c>
      <c r="O53" s="83">
        <v>100</v>
      </c>
      <c r="P53" s="83">
        <v>110</v>
      </c>
      <c r="Q53" s="83">
        <v>119</v>
      </c>
      <c r="R53" s="83">
        <v>116</v>
      </c>
      <c r="S53" s="83">
        <v>126</v>
      </c>
      <c r="T53" s="83">
        <v>130</v>
      </c>
      <c r="U53" s="83">
        <v>124</v>
      </c>
      <c r="V53" s="83">
        <v>117</v>
      </c>
      <c r="W53" s="83">
        <v>117</v>
      </c>
      <c r="X53" s="83">
        <v>116</v>
      </c>
      <c r="Y53" s="83">
        <v>119</v>
      </c>
      <c r="Z53" s="83">
        <v>124</v>
      </c>
      <c r="AA53" s="83">
        <v>125</v>
      </c>
      <c r="AB53" s="83">
        <v>122</v>
      </c>
      <c r="AC53" s="83">
        <v>120</v>
      </c>
      <c r="AD53" s="83">
        <v>111</v>
      </c>
      <c r="AE53" s="83">
        <v>118</v>
      </c>
      <c r="AF53" s="83">
        <v>119</v>
      </c>
      <c r="AG53" s="83">
        <v>114</v>
      </c>
      <c r="AH53" s="83">
        <v>119</v>
      </c>
      <c r="AI53" s="83">
        <v>117</v>
      </c>
      <c r="AJ53" s="83">
        <v>109</v>
      </c>
      <c r="AK53" s="83">
        <v>106</v>
      </c>
      <c r="AL53" s="83">
        <v>110</v>
      </c>
      <c r="AM53" s="83">
        <v>114</v>
      </c>
      <c r="AN53" s="83">
        <v>106</v>
      </c>
      <c r="AO53" s="83">
        <v>105</v>
      </c>
      <c r="AP53" s="83">
        <v>104</v>
      </c>
      <c r="AQ53" s="83">
        <v>103</v>
      </c>
      <c r="AR53" s="83">
        <v>104</v>
      </c>
      <c r="AS53" s="83">
        <v>96</v>
      </c>
      <c r="AT53" s="83">
        <v>91</v>
      </c>
      <c r="AU53" s="83">
        <v>87</v>
      </c>
      <c r="AV53" s="83">
        <v>87</v>
      </c>
      <c r="AW53" s="83">
        <v>80</v>
      </c>
    </row>
    <row r="54" spans="1:49" x14ac:dyDescent="0.15">
      <c r="A54" s="83">
        <v>20201220</v>
      </c>
      <c r="B54" s="83">
        <v>52</v>
      </c>
      <c r="C54" s="83">
        <v>38</v>
      </c>
      <c r="D54" s="83">
        <v>36</v>
      </c>
      <c r="E54" s="83">
        <v>32</v>
      </c>
      <c r="F54" s="83">
        <v>33</v>
      </c>
      <c r="G54" s="83">
        <v>36</v>
      </c>
      <c r="H54" s="83">
        <v>34</v>
      </c>
      <c r="I54" s="83">
        <v>31</v>
      </c>
      <c r="J54" s="83">
        <v>31</v>
      </c>
      <c r="K54" s="83">
        <v>30</v>
      </c>
      <c r="L54" s="83">
        <v>33</v>
      </c>
      <c r="M54" s="83">
        <v>44</v>
      </c>
      <c r="N54" s="83">
        <v>93</v>
      </c>
      <c r="O54" s="83">
        <v>95</v>
      </c>
      <c r="P54" s="83">
        <v>110</v>
      </c>
      <c r="Q54" s="83">
        <v>113</v>
      </c>
      <c r="R54" s="83">
        <v>107</v>
      </c>
      <c r="S54" s="83">
        <v>117</v>
      </c>
      <c r="T54" s="83">
        <v>134</v>
      </c>
      <c r="U54" s="83">
        <v>125</v>
      </c>
      <c r="V54" s="83">
        <v>123</v>
      </c>
      <c r="W54" s="83">
        <v>123</v>
      </c>
      <c r="X54" s="83">
        <v>118</v>
      </c>
      <c r="Y54" s="83">
        <v>119</v>
      </c>
      <c r="Z54" s="83">
        <v>122</v>
      </c>
      <c r="AA54" s="83">
        <v>126</v>
      </c>
      <c r="AB54" s="83">
        <v>128</v>
      </c>
      <c r="AC54" s="83">
        <v>123</v>
      </c>
      <c r="AD54" s="83">
        <v>120</v>
      </c>
      <c r="AE54" s="83">
        <v>129</v>
      </c>
      <c r="AF54" s="83">
        <v>124</v>
      </c>
      <c r="AG54" s="83">
        <v>122</v>
      </c>
      <c r="AH54" s="83">
        <v>120</v>
      </c>
      <c r="AI54" s="83">
        <v>119</v>
      </c>
      <c r="AJ54" s="83">
        <v>115</v>
      </c>
      <c r="AK54" s="83">
        <v>111</v>
      </c>
      <c r="AL54" s="83">
        <v>110</v>
      </c>
      <c r="AM54" s="83">
        <v>115</v>
      </c>
      <c r="AN54" s="83">
        <v>113</v>
      </c>
      <c r="AO54" s="83">
        <v>109</v>
      </c>
      <c r="AP54" s="83">
        <v>104</v>
      </c>
      <c r="AQ54" s="83">
        <v>108</v>
      </c>
      <c r="AR54" s="83">
        <v>97</v>
      </c>
      <c r="AS54" s="83">
        <v>91</v>
      </c>
      <c r="AT54" s="83">
        <v>93</v>
      </c>
      <c r="AU54" s="83">
        <v>90</v>
      </c>
      <c r="AV54" s="83">
        <v>88</v>
      </c>
      <c r="AW54" s="83">
        <v>78</v>
      </c>
    </row>
    <row r="55" spans="1:49" x14ac:dyDescent="0.15">
      <c r="A55" s="83">
        <v>20201221</v>
      </c>
      <c r="B55" s="83">
        <v>51</v>
      </c>
      <c r="C55" s="83">
        <v>39</v>
      </c>
      <c r="D55" s="83">
        <v>35</v>
      </c>
      <c r="E55" s="83">
        <v>31</v>
      </c>
      <c r="F55" s="83">
        <v>32</v>
      </c>
      <c r="G55" s="83">
        <v>36</v>
      </c>
      <c r="H55" s="83">
        <v>34</v>
      </c>
      <c r="I55" s="83">
        <v>31</v>
      </c>
      <c r="J55" s="83">
        <v>30</v>
      </c>
      <c r="K55" s="83">
        <v>30</v>
      </c>
      <c r="L55" s="83">
        <v>33</v>
      </c>
      <c r="M55" s="83">
        <v>44</v>
      </c>
      <c r="N55" s="83">
        <v>83</v>
      </c>
      <c r="O55" s="83">
        <v>79</v>
      </c>
      <c r="P55" s="83">
        <v>91</v>
      </c>
      <c r="Q55" s="83">
        <v>95</v>
      </c>
      <c r="R55" s="83">
        <v>98</v>
      </c>
      <c r="S55" s="83">
        <v>117</v>
      </c>
      <c r="T55" s="83">
        <v>122</v>
      </c>
      <c r="U55" s="83">
        <v>116</v>
      </c>
      <c r="V55" s="83">
        <v>116</v>
      </c>
      <c r="W55" s="83">
        <v>117</v>
      </c>
      <c r="X55" s="83">
        <v>115</v>
      </c>
      <c r="Y55" s="83">
        <v>119</v>
      </c>
      <c r="Z55" s="83">
        <v>122</v>
      </c>
      <c r="AA55" s="83">
        <v>117</v>
      </c>
      <c r="AB55" s="83">
        <v>113</v>
      </c>
      <c r="AC55" s="83">
        <v>117</v>
      </c>
      <c r="AD55" s="83">
        <v>112</v>
      </c>
      <c r="AE55" s="83">
        <v>124</v>
      </c>
      <c r="AF55" s="83">
        <v>117</v>
      </c>
      <c r="AG55" s="83">
        <v>112</v>
      </c>
      <c r="AH55" s="83">
        <v>108</v>
      </c>
      <c r="AI55" s="83">
        <v>110</v>
      </c>
      <c r="AJ55" s="83">
        <v>106</v>
      </c>
      <c r="AK55" s="83">
        <v>113</v>
      </c>
      <c r="AL55" s="83">
        <v>109</v>
      </c>
      <c r="AM55" s="83">
        <v>109</v>
      </c>
      <c r="AN55" s="83">
        <v>107</v>
      </c>
      <c r="AO55" s="83">
        <v>102</v>
      </c>
      <c r="AP55" s="83">
        <v>96</v>
      </c>
      <c r="AQ55" s="83">
        <v>98</v>
      </c>
      <c r="AR55" s="83">
        <v>96</v>
      </c>
      <c r="AS55" s="83">
        <v>89</v>
      </c>
      <c r="AT55" s="83">
        <v>85</v>
      </c>
      <c r="AU55" s="83">
        <v>87</v>
      </c>
      <c r="AV55" s="83">
        <v>86</v>
      </c>
      <c r="AW55" s="83">
        <v>84</v>
      </c>
    </row>
    <row r="56" spans="1:49" x14ac:dyDescent="0.15">
      <c r="A56" s="83">
        <v>20201222</v>
      </c>
      <c r="B56" s="83">
        <v>55</v>
      </c>
      <c r="C56" s="83">
        <v>40</v>
      </c>
      <c r="D56" s="83">
        <v>36</v>
      </c>
      <c r="E56" s="83">
        <v>32</v>
      </c>
      <c r="F56" s="83">
        <v>34</v>
      </c>
      <c r="G56" s="83">
        <v>36</v>
      </c>
      <c r="H56" s="83">
        <v>36</v>
      </c>
      <c r="I56" s="83">
        <v>33</v>
      </c>
      <c r="J56" s="83">
        <v>30</v>
      </c>
      <c r="K56" s="83">
        <v>32</v>
      </c>
      <c r="L56" s="83">
        <v>31</v>
      </c>
      <c r="M56" s="83">
        <v>45</v>
      </c>
      <c r="N56" s="83">
        <v>80</v>
      </c>
      <c r="O56" s="83">
        <v>79</v>
      </c>
      <c r="P56" s="83">
        <v>82</v>
      </c>
      <c r="Q56" s="83">
        <v>93</v>
      </c>
      <c r="R56" s="83">
        <v>98</v>
      </c>
      <c r="S56" s="83">
        <v>118</v>
      </c>
      <c r="T56" s="83">
        <v>120</v>
      </c>
      <c r="U56" s="83">
        <v>113</v>
      </c>
      <c r="V56" s="83">
        <v>120</v>
      </c>
      <c r="W56" s="83">
        <v>115</v>
      </c>
      <c r="X56" s="83">
        <v>113</v>
      </c>
      <c r="Y56" s="83">
        <v>114</v>
      </c>
      <c r="Z56" s="83">
        <v>117</v>
      </c>
      <c r="AA56" s="83">
        <v>121</v>
      </c>
      <c r="AB56" s="83">
        <v>120</v>
      </c>
      <c r="AC56" s="83">
        <v>116</v>
      </c>
      <c r="AD56" s="83">
        <v>112</v>
      </c>
      <c r="AE56" s="83">
        <v>120</v>
      </c>
      <c r="AF56" s="83">
        <v>114</v>
      </c>
      <c r="AG56" s="83">
        <v>109</v>
      </c>
      <c r="AH56" s="83">
        <v>107</v>
      </c>
      <c r="AI56" s="83">
        <v>105</v>
      </c>
      <c r="AJ56" s="83">
        <v>105</v>
      </c>
      <c r="AK56" s="83">
        <v>106</v>
      </c>
      <c r="AL56" s="83">
        <v>108</v>
      </c>
      <c r="AM56" s="83">
        <v>113</v>
      </c>
      <c r="AN56" s="83">
        <v>107</v>
      </c>
      <c r="AO56" s="83">
        <v>105</v>
      </c>
      <c r="AP56" s="83">
        <v>101</v>
      </c>
      <c r="AQ56" s="83">
        <v>102</v>
      </c>
      <c r="AR56" s="83">
        <v>100</v>
      </c>
      <c r="AS56" s="83">
        <v>94</v>
      </c>
      <c r="AT56" s="83">
        <v>91</v>
      </c>
      <c r="AU56" s="83">
        <v>92</v>
      </c>
      <c r="AV56" s="83">
        <v>89</v>
      </c>
      <c r="AW56" s="83">
        <v>89</v>
      </c>
    </row>
    <row r="57" spans="1:49" x14ac:dyDescent="0.15">
      <c r="A57" s="83">
        <v>20201223</v>
      </c>
      <c r="B57" s="83">
        <v>58</v>
      </c>
      <c r="C57" s="83">
        <v>41</v>
      </c>
      <c r="D57" s="83">
        <v>36</v>
      </c>
      <c r="E57" s="83">
        <v>32</v>
      </c>
      <c r="F57" s="83">
        <v>35</v>
      </c>
      <c r="G57" s="83">
        <v>37</v>
      </c>
      <c r="H57" s="83">
        <v>35</v>
      </c>
      <c r="I57" s="83">
        <v>34</v>
      </c>
      <c r="J57" s="83">
        <v>31</v>
      </c>
      <c r="K57" s="83">
        <v>32</v>
      </c>
      <c r="L57" s="83">
        <v>31</v>
      </c>
      <c r="M57" s="83">
        <v>50</v>
      </c>
      <c r="N57" s="83">
        <v>89</v>
      </c>
      <c r="O57" s="83">
        <v>71</v>
      </c>
      <c r="P57" s="83">
        <v>87</v>
      </c>
      <c r="Q57" s="83">
        <v>101</v>
      </c>
      <c r="R57" s="83">
        <v>101</v>
      </c>
      <c r="S57" s="83">
        <v>107</v>
      </c>
      <c r="T57" s="83">
        <v>116</v>
      </c>
      <c r="U57" s="83">
        <v>114</v>
      </c>
      <c r="V57" s="83">
        <v>127</v>
      </c>
      <c r="W57" s="83">
        <v>119</v>
      </c>
      <c r="X57" s="83">
        <v>122</v>
      </c>
      <c r="Y57" s="83">
        <v>124</v>
      </c>
      <c r="Z57" s="83">
        <v>123</v>
      </c>
      <c r="AA57" s="83">
        <v>126</v>
      </c>
      <c r="AB57" s="83">
        <v>118</v>
      </c>
      <c r="AC57" s="83">
        <v>118</v>
      </c>
      <c r="AD57" s="83">
        <v>113</v>
      </c>
      <c r="AE57" s="83">
        <v>122</v>
      </c>
      <c r="AF57" s="83">
        <v>118</v>
      </c>
      <c r="AG57" s="83">
        <v>122</v>
      </c>
      <c r="AH57" s="83">
        <v>112</v>
      </c>
      <c r="AI57" s="83">
        <v>102</v>
      </c>
      <c r="AJ57" s="83">
        <v>106</v>
      </c>
      <c r="AK57" s="83">
        <v>105</v>
      </c>
      <c r="AL57" s="83">
        <v>102</v>
      </c>
      <c r="AM57" s="83">
        <v>107</v>
      </c>
      <c r="AN57" s="83">
        <v>103</v>
      </c>
      <c r="AO57" s="83">
        <v>98</v>
      </c>
      <c r="AP57" s="83">
        <v>94</v>
      </c>
      <c r="AQ57" s="83">
        <v>95</v>
      </c>
      <c r="AR57" s="83">
        <v>93</v>
      </c>
      <c r="AS57" s="83">
        <v>89</v>
      </c>
      <c r="AT57" s="83">
        <v>85</v>
      </c>
      <c r="AU57" s="83">
        <v>83</v>
      </c>
      <c r="AV57" s="83">
        <v>81</v>
      </c>
      <c r="AW57" s="83">
        <v>78</v>
      </c>
    </row>
    <row r="58" spans="1:49" x14ac:dyDescent="0.15">
      <c r="A58" s="83">
        <v>20201224</v>
      </c>
      <c r="B58" s="83">
        <v>52</v>
      </c>
      <c r="C58" s="83">
        <v>39</v>
      </c>
      <c r="D58" s="83">
        <v>38</v>
      </c>
      <c r="E58" s="83">
        <v>34</v>
      </c>
      <c r="F58" s="83">
        <v>33</v>
      </c>
      <c r="G58" s="83">
        <v>37</v>
      </c>
      <c r="H58" s="83">
        <v>35</v>
      </c>
      <c r="I58" s="83">
        <v>32</v>
      </c>
      <c r="J58" s="83">
        <v>31</v>
      </c>
      <c r="K58" s="83">
        <v>30</v>
      </c>
      <c r="L58" s="83">
        <v>62</v>
      </c>
      <c r="M58" s="83">
        <v>70</v>
      </c>
      <c r="N58" s="83">
        <v>96</v>
      </c>
      <c r="O58" s="83">
        <v>90</v>
      </c>
      <c r="P58" s="83">
        <v>98</v>
      </c>
      <c r="Q58" s="83">
        <v>97</v>
      </c>
      <c r="R58" s="83">
        <v>103</v>
      </c>
      <c r="S58" s="83">
        <v>109</v>
      </c>
      <c r="T58" s="83">
        <v>111</v>
      </c>
      <c r="U58" s="83">
        <v>111</v>
      </c>
      <c r="V58" s="83">
        <v>106</v>
      </c>
      <c r="W58" s="83">
        <v>106</v>
      </c>
      <c r="X58" s="83">
        <v>106</v>
      </c>
      <c r="Y58" s="83">
        <v>114</v>
      </c>
      <c r="Z58" s="83">
        <v>107</v>
      </c>
      <c r="AA58" s="83">
        <v>115</v>
      </c>
      <c r="AB58" s="83">
        <v>111</v>
      </c>
      <c r="AC58" s="83">
        <v>112</v>
      </c>
      <c r="AD58" s="83">
        <v>111</v>
      </c>
      <c r="AE58" s="83">
        <v>116</v>
      </c>
      <c r="AF58" s="83">
        <v>111</v>
      </c>
      <c r="AG58" s="83">
        <v>117</v>
      </c>
      <c r="AH58" s="83">
        <v>105</v>
      </c>
      <c r="AI58" s="83">
        <v>96</v>
      </c>
      <c r="AJ58" s="83">
        <v>93</v>
      </c>
      <c r="AK58" s="83">
        <v>93</v>
      </c>
      <c r="AL58" s="83">
        <v>90</v>
      </c>
      <c r="AM58" s="83">
        <v>98</v>
      </c>
      <c r="AN58" s="83">
        <v>97</v>
      </c>
      <c r="AO58" s="83">
        <v>96</v>
      </c>
      <c r="AP58" s="83">
        <v>92</v>
      </c>
      <c r="AQ58" s="83">
        <v>97</v>
      </c>
      <c r="AR58" s="83">
        <v>89</v>
      </c>
      <c r="AS58" s="83">
        <v>82</v>
      </c>
      <c r="AT58" s="83">
        <v>79</v>
      </c>
      <c r="AU58" s="83">
        <v>75</v>
      </c>
      <c r="AV58" s="83">
        <v>75</v>
      </c>
      <c r="AW58" s="83">
        <v>73</v>
      </c>
    </row>
    <row r="59" spans="1:49" x14ac:dyDescent="0.15">
      <c r="A59" s="83">
        <v>20201225</v>
      </c>
      <c r="B59" s="83">
        <v>53</v>
      </c>
      <c r="C59" s="83">
        <v>40</v>
      </c>
      <c r="D59" s="83">
        <v>39</v>
      </c>
      <c r="E59" s="83">
        <v>34</v>
      </c>
      <c r="F59" s="83">
        <v>34</v>
      </c>
      <c r="G59" s="83">
        <v>38</v>
      </c>
      <c r="H59" s="83">
        <v>36</v>
      </c>
      <c r="I59" s="83">
        <v>34</v>
      </c>
      <c r="J59" s="83">
        <v>31</v>
      </c>
      <c r="K59" s="83">
        <v>33</v>
      </c>
      <c r="L59" s="83">
        <v>37</v>
      </c>
      <c r="M59" s="83">
        <v>73</v>
      </c>
      <c r="N59" s="83">
        <v>85</v>
      </c>
      <c r="O59" s="83">
        <v>89</v>
      </c>
      <c r="P59" s="83">
        <v>104</v>
      </c>
      <c r="Q59" s="83">
        <v>113</v>
      </c>
      <c r="R59" s="83">
        <v>112</v>
      </c>
      <c r="S59" s="83">
        <v>121</v>
      </c>
      <c r="T59" s="83">
        <v>125</v>
      </c>
      <c r="U59" s="83">
        <v>119</v>
      </c>
      <c r="V59" s="83">
        <v>107</v>
      </c>
      <c r="W59" s="83">
        <v>106</v>
      </c>
      <c r="X59" s="83">
        <v>112</v>
      </c>
      <c r="Y59" s="83">
        <v>120</v>
      </c>
      <c r="Z59" s="83">
        <v>117</v>
      </c>
      <c r="AA59" s="83">
        <v>117</v>
      </c>
      <c r="AB59" s="83">
        <v>113</v>
      </c>
      <c r="AC59" s="83">
        <v>109</v>
      </c>
      <c r="AD59" s="83">
        <v>114</v>
      </c>
      <c r="AE59" s="83">
        <v>121</v>
      </c>
      <c r="AF59" s="83">
        <v>116</v>
      </c>
      <c r="AG59" s="83">
        <v>111</v>
      </c>
      <c r="AH59" s="83">
        <v>106</v>
      </c>
      <c r="AI59" s="83">
        <v>104</v>
      </c>
      <c r="AJ59" s="83">
        <v>104</v>
      </c>
      <c r="AK59" s="83">
        <v>102</v>
      </c>
      <c r="AL59" s="83">
        <v>104</v>
      </c>
      <c r="AM59" s="83">
        <v>109</v>
      </c>
      <c r="AN59" s="83">
        <v>101</v>
      </c>
      <c r="AO59" s="83">
        <v>101</v>
      </c>
      <c r="AP59" s="83">
        <v>97</v>
      </c>
      <c r="AQ59" s="83">
        <v>99</v>
      </c>
      <c r="AR59" s="83">
        <v>95</v>
      </c>
      <c r="AS59" s="83">
        <v>89</v>
      </c>
      <c r="AT59" s="83">
        <v>87</v>
      </c>
      <c r="AU59" s="83">
        <v>85</v>
      </c>
      <c r="AV59" s="83">
        <v>85</v>
      </c>
      <c r="AW59" s="83">
        <v>83</v>
      </c>
    </row>
    <row r="60" spans="1:49" x14ac:dyDescent="0.15">
      <c r="A60" s="83">
        <v>20201226</v>
      </c>
      <c r="B60" s="83">
        <v>60</v>
      </c>
      <c r="C60" s="83">
        <v>40</v>
      </c>
      <c r="D60" s="83">
        <v>38</v>
      </c>
      <c r="E60" s="83">
        <v>32</v>
      </c>
      <c r="F60" s="83">
        <v>33</v>
      </c>
      <c r="G60" s="83">
        <v>36</v>
      </c>
      <c r="H60" s="83">
        <v>34</v>
      </c>
      <c r="I60" s="83">
        <v>33</v>
      </c>
      <c r="J60" s="83">
        <v>30</v>
      </c>
      <c r="K60" s="83">
        <v>30</v>
      </c>
      <c r="L60" s="83">
        <v>31</v>
      </c>
      <c r="M60" s="83">
        <v>42</v>
      </c>
      <c r="N60" s="83">
        <v>95</v>
      </c>
      <c r="O60" s="83">
        <v>96</v>
      </c>
      <c r="P60" s="83">
        <v>105</v>
      </c>
      <c r="Q60" s="83">
        <v>112</v>
      </c>
      <c r="R60" s="83">
        <v>109</v>
      </c>
      <c r="S60" s="83">
        <v>121</v>
      </c>
      <c r="T60" s="83">
        <v>130</v>
      </c>
      <c r="U60" s="83">
        <v>119</v>
      </c>
      <c r="V60" s="83">
        <v>116</v>
      </c>
      <c r="W60" s="83">
        <v>118</v>
      </c>
      <c r="X60" s="83">
        <v>120</v>
      </c>
      <c r="Y60" s="83">
        <v>120</v>
      </c>
      <c r="Z60" s="83">
        <v>121</v>
      </c>
      <c r="AA60" s="83">
        <v>125</v>
      </c>
      <c r="AB60" s="83">
        <v>123</v>
      </c>
      <c r="AC60" s="83">
        <v>123</v>
      </c>
      <c r="AD60" s="83">
        <v>116</v>
      </c>
      <c r="AE60" s="83">
        <v>125</v>
      </c>
      <c r="AF60" s="83">
        <v>116</v>
      </c>
      <c r="AG60" s="83">
        <v>119</v>
      </c>
      <c r="AH60" s="83">
        <v>107</v>
      </c>
      <c r="AI60" s="83">
        <v>110</v>
      </c>
      <c r="AJ60" s="83">
        <v>106</v>
      </c>
      <c r="AK60" s="83">
        <v>111</v>
      </c>
      <c r="AL60" s="83">
        <v>110</v>
      </c>
      <c r="AM60" s="83">
        <v>112</v>
      </c>
      <c r="AN60" s="83">
        <v>107</v>
      </c>
      <c r="AO60" s="83">
        <v>110</v>
      </c>
      <c r="AP60" s="83">
        <v>102</v>
      </c>
      <c r="AQ60" s="83">
        <v>105</v>
      </c>
      <c r="AR60" s="83">
        <v>98</v>
      </c>
      <c r="AS60" s="83">
        <v>94</v>
      </c>
      <c r="AT60" s="83">
        <v>93</v>
      </c>
      <c r="AU60" s="83">
        <v>92</v>
      </c>
      <c r="AV60" s="83">
        <v>89</v>
      </c>
      <c r="AW60" s="83">
        <v>86</v>
      </c>
    </row>
    <row r="61" spans="1:49" x14ac:dyDescent="0.15">
      <c r="A61" s="83">
        <v>20201227</v>
      </c>
      <c r="B61" s="83">
        <v>52</v>
      </c>
      <c r="C61" s="83">
        <v>40</v>
      </c>
      <c r="D61" s="83">
        <v>39</v>
      </c>
      <c r="E61" s="83">
        <v>35</v>
      </c>
      <c r="F61" s="83">
        <v>36</v>
      </c>
      <c r="G61" s="83">
        <v>39</v>
      </c>
      <c r="H61" s="83">
        <v>37</v>
      </c>
      <c r="I61" s="83">
        <v>36</v>
      </c>
      <c r="J61" s="83">
        <v>33</v>
      </c>
      <c r="K61" s="83">
        <v>34</v>
      </c>
      <c r="L61" s="83">
        <v>36</v>
      </c>
      <c r="M61" s="83">
        <v>47</v>
      </c>
      <c r="N61" s="83">
        <v>100</v>
      </c>
      <c r="O61" s="83">
        <v>94</v>
      </c>
      <c r="P61" s="83">
        <v>105</v>
      </c>
      <c r="Q61" s="83">
        <v>109</v>
      </c>
      <c r="R61" s="83">
        <v>115</v>
      </c>
      <c r="S61" s="83">
        <v>122</v>
      </c>
      <c r="T61" s="83">
        <v>125</v>
      </c>
      <c r="U61" s="83">
        <v>122</v>
      </c>
      <c r="V61" s="83">
        <v>118</v>
      </c>
      <c r="W61" s="83">
        <v>118</v>
      </c>
      <c r="X61" s="83">
        <v>125</v>
      </c>
      <c r="Y61" s="83">
        <v>127</v>
      </c>
      <c r="Z61" s="83">
        <v>122</v>
      </c>
      <c r="AA61" s="83">
        <v>131</v>
      </c>
      <c r="AB61" s="83">
        <v>123</v>
      </c>
      <c r="AC61" s="83">
        <v>123</v>
      </c>
      <c r="AD61" s="83">
        <v>119</v>
      </c>
      <c r="AE61" s="83">
        <v>132</v>
      </c>
      <c r="AF61" s="83">
        <v>123</v>
      </c>
      <c r="AG61" s="83">
        <v>119</v>
      </c>
      <c r="AH61" s="83">
        <v>115</v>
      </c>
      <c r="AI61" s="83">
        <v>119</v>
      </c>
      <c r="AJ61" s="83">
        <v>115</v>
      </c>
      <c r="AK61" s="83">
        <v>116</v>
      </c>
      <c r="AL61" s="83">
        <v>111</v>
      </c>
      <c r="AM61" s="83">
        <v>115</v>
      </c>
      <c r="AN61" s="83">
        <v>107</v>
      </c>
      <c r="AO61" s="83">
        <v>106</v>
      </c>
      <c r="AP61" s="83">
        <v>103</v>
      </c>
      <c r="AQ61" s="83">
        <v>108</v>
      </c>
      <c r="AR61" s="83">
        <v>103</v>
      </c>
      <c r="AS61" s="83">
        <v>102</v>
      </c>
      <c r="AT61" s="83">
        <v>97</v>
      </c>
      <c r="AU61" s="83">
        <v>95</v>
      </c>
      <c r="AV61" s="83">
        <v>92</v>
      </c>
      <c r="AW61" s="83">
        <v>90</v>
      </c>
    </row>
    <row r="62" spans="1:49" x14ac:dyDescent="0.15">
      <c r="A62" s="83">
        <v>20201228</v>
      </c>
      <c r="B62" s="83">
        <v>57</v>
      </c>
      <c r="C62" s="83">
        <v>39</v>
      </c>
      <c r="D62" s="83">
        <v>39</v>
      </c>
      <c r="E62" s="83">
        <v>35</v>
      </c>
      <c r="F62" s="83">
        <v>35</v>
      </c>
      <c r="G62" s="83">
        <v>38</v>
      </c>
      <c r="H62" s="83">
        <v>37</v>
      </c>
      <c r="I62" s="83">
        <v>35</v>
      </c>
      <c r="J62" s="83">
        <v>33</v>
      </c>
      <c r="K62" s="83">
        <v>32</v>
      </c>
      <c r="L62" s="83">
        <v>34</v>
      </c>
      <c r="M62" s="83">
        <v>48</v>
      </c>
      <c r="N62" s="83">
        <v>96</v>
      </c>
      <c r="O62" s="83">
        <v>85</v>
      </c>
      <c r="P62" s="83">
        <v>102</v>
      </c>
      <c r="Q62" s="83">
        <v>110</v>
      </c>
      <c r="R62" s="83">
        <v>107</v>
      </c>
      <c r="S62" s="83">
        <v>119</v>
      </c>
      <c r="T62" s="83">
        <v>127</v>
      </c>
      <c r="U62" s="83">
        <v>114</v>
      </c>
      <c r="V62" s="83">
        <v>113</v>
      </c>
      <c r="W62" s="83">
        <v>115</v>
      </c>
      <c r="X62" s="83">
        <v>117</v>
      </c>
      <c r="Y62" s="83">
        <v>114</v>
      </c>
      <c r="Z62" s="83">
        <v>124</v>
      </c>
      <c r="AA62" s="83">
        <v>126</v>
      </c>
      <c r="AB62" s="83">
        <v>120</v>
      </c>
      <c r="AC62" s="83">
        <v>121</v>
      </c>
      <c r="AD62" s="83">
        <v>116</v>
      </c>
      <c r="AE62" s="83">
        <v>123</v>
      </c>
      <c r="AF62" s="83">
        <v>121</v>
      </c>
      <c r="AG62" s="83">
        <v>123</v>
      </c>
      <c r="AH62" s="83">
        <v>115</v>
      </c>
      <c r="AI62" s="83">
        <v>116</v>
      </c>
      <c r="AJ62" s="83">
        <v>120</v>
      </c>
      <c r="AK62" s="83">
        <v>109</v>
      </c>
      <c r="AL62" s="83">
        <v>111</v>
      </c>
      <c r="AM62" s="83">
        <v>119</v>
      </c>
      <c r="AN62" s="83">
        <v>107</v>
      </c>
      <c r="AO62" s="83">
        <v>109</v>
      </c>
      <c r="AP62" s="83">
        <v>104</v>
      </c>
      <c r="AQ62" s="83">
        <v>105</v>
      </c>
      <c r="AR62" s="83">
        <v>106</v>
      </c>
      <c r="AS62" s="83">
        <v>101</v>
      </c>
      <c r="AT62" s="83">
        <v>94</v>
      </c>
      <c r="AU62" s="83">
        <v>93</v>
      </c>
      <c r="AV62" s="83">
        <v>91</v>
      </c>
      <c r="AW62" s="83">
        <v>83</v>
      </c>
    </row>
    <row r="63" spans="1:49" x14ac:dyDescent="0.15">
      <c r="A63" s="83">
        <v>20201229</v>
      </c>
      <c r="B63" s="83">
        <v>54</v>
      </c>
      <c r="C63" s="83">
        <v>41</v>
      </c>
      <c r="D63" s="83">
        <v>40</v>
      </c>
      <c r="E63" s="83">
        <v>37</v>
      </c>
      <c r="F63" s="83">
        <v>36</v>
      </c>
      <c r="G63" s="83">
        <v>40</v>
      </c>
      <c r="H63" s="83">
        <v>38</v>
      </c>
      <c r="I63" s="83">
        <v>37</v>
      </c>
      <c r="J63" s="83">
        <v>35</v>
      </c>
      <c r="K63" s="83">
        <v>34</v>
      </c>
      <c r="L63" s="83">
        <v>44</v>
      </c>
      <c r="M63" s="83">
        <v>68</v>
      </c>
      <c r="N63" s="83">
        <v>90</v>
      </c>
      <c r="O63" s="83">
        <v>89</v>
      </c>
      <c r="P63" s="83">
        <v>109</v>
      </c>
      <c r="Q63" s="83">
        <v>116</v>
      </c>
      <c r="R63" s="83">
        <v>111</v>
      </c>
      <c r="S63" s="83">
        <v>126</v>
      </c>
      <c r="T63" s="83">
        <v>125</v>
      </c>
      <c r="U63" s="83">
        <v>126</v>
      </c>
      <c r="V63" s="83">
        <v>122</v>
      </c>
      <c r="W63" s="83">
        <v>123</v>
      </c>
      <c r="X63" s="83">
        <v>124</v>
      </c>
      <c r="Y63" s="83">
        <v>121</v>
      </c>
      <c r="Z63" s="83">
        <v>124</v>
      </c>
      <c r="AA63" s="83">
        <v>131</v>
      </c>
      <c r="AB63" s="83">
        <v>130</v>
      </c>
      <c r="AC63" s="83">
        <v>130</v>
      </c>
      <c r="AD63" s="83">
        <v>124</v>
      </c>
      <c r="AE63" s="83">
        <v>129</v>
      </c>
      <c r="AF63" s="83">
        <v>129</v>
      </c>
      <c r="AG63" s="83">
        <v>118</v>
      </c>
      <c r="AH63" s="83">
        <v>125</v>
      </c>
      <c r="AI63" s="83">
        <v>116</v>
      </c>
      <c r="AJ63" s="83">
        <v>114</v>
      </c>
      <c r="AK63" s="83">
        <v>117</v>
      </c>
      <c r="AL63" s="83">
        <v>111</v>
      </c>
      <c r="AM63" s="83">
        <v>119</v>
      </c>
      <c r="AN63" s="83">
        <v>111</v>
      </c>
      <c r="AO63" s="83">
        <v>110</v>
      </c>
      <c r="AP63" s="83">
        <v>111</v>
      </c>
      <c r="AQ63" s="83">
        <v>118</v>
      </c>
      <c r="AR63" s="83">
        <v>111</v>
      </c>
      <c r="AS63" s="83">
        <v>103</v>
      </c>
      <c r="AT63" s="83">
        <v>98</v>
      </c>
      <c r="AU63" s="83">
        <v>95</v>
      </c>
      <c r="AV63" s="83">
        <v>94</v>
      </c>
      <c r="AW63" s="83">
        <v>91</v>
      </c>
    </row>
    <row r="64" spans="1:49" x14ac:dyDescent="0.15">
      <c r="A64" s="83">
        <v>20201230</v>
      </c>
      <c r="B64" s="83">
        <v>62</v>
      </c>
      <c r="C64" s="83">
        <v>41</v>
      </c>
      <c r="D64" s="83">
        <v>39</v>
      </c>
      <c r="E64" s="83">
        <v>36</v>
      </c>
      <c r="F64" s="83">
        <v>36</v>
      </c>
      <c r="G64" s="83">
        <v>39</v>
      </c>
      <c r="H64" s="83">
        <v>38</v>
      </c>
      <c r="I64" s="83">
        <v>36</v>
      </c>
      <c r="J64" s="83">
        <v>34</v>
      </c>
      <c r="K64" s="83">
        <v>33</v>
      </c>
      <c r="L64" s="83">
        <v>47</v>
      </c>
      <c r="M64" s="83">
        <v>76</v>
      </c>
      <c r="N64" s="83">
        <v>112</v>
      </c>
      <c r="O64" s="83">
        <v>102</v>
      </c>
      <c r="P64" s="83">
        <v>112</v>
      </c>
      <c r="Q64" s="83">
        <v>112</v>
      </c>
      <c r="R64" s="83">
        <v>112</v>
      </c>
      <c r="S64" s="83">
        <v>121</v>
      </c>
      <c r="T64" s="83">
        <v>121</v>
      </c>
      <c r="U64" s="83">
        <v>124</v>
      </c>
      <c r="V64" s="83">
        <v>120</v>
      </c>
      <c r="W64" s="83">
        <v>120</v>
      </c>
      <c r="X64" s="83">
        <v>117</v>
      </c>
      <c r="Y64" s="83">
        <v>115</v>
      </c>
      <c r="Z64" s="83">
        <v>121</v>
      </c>
      <c r="AA64" s="83">
        <v>126</v>
      </c>
      <c r="AB64" s="83">
        <v>124</v>
      </c>
      <c r="AC64" s="83">
        <v>125</v>
      </c>
      <c r="AD64" s="83">
        <v>117</v>
      </c>
      <c r="AE64" s="83">
        <v>121</v>
      </c>
      <c r="AF64" s="83">
        <v>117</v>
      </c>
      <c r="AG64" s="83">
        <v>115</v>
      </c>
      <c r="AH64" s="83">
        <v>113</v>
      </c>
      <c r="AI64" s="83">
        <v>112</v>
      </c>
      <c r="AJ64" s="83">
        <v>108</v>
      </c>
      <c r="AK64" s="83">
        <v>105</v>
      </c>
      <c r="AL64" s="83">
        <v>104</v>
      </c>
      <c r="AM64" s="83">
        <v>106</v>
      </c>
      <c r="AN64" s="83">
        <v>107</v>
      </c>
      <c r="AO64" s="83">
        <v>108</v>
      </c>
      <c r="AP64" s="83">
        <v>105</v>
      </c>
      <c r="AQ64" s="83">
        <v>108</v>
      </c>
      <c r="AR64" s="83">
        <v>99</v>
      </c>
      <c r="AS64" s="83">
        <v>93</v>
      </c>
      <c r="AT64" s="83">
        <v>88</v>
      </c>
      <c r="AU64" s="83">
        <v>88</v>
      </c>
      <c r="AV64" s="83">
        <v>86</v>
      </c>
      <c r="AW64" s="83">
        <v>87</v>
      </c>
    </row>
    <row r="65" spans="1:49" x14ac:dyDescent="0.15">
      <c r="A65" s="83">
        <v>20201231</v>
      </c>
      <c r="B65" s="83">
        <v>59</v>
      </c>
      <c r="C65" s="83">
        <v>38</v>
      </c>
      <c r="D65" s="83">
        <v>36</v>
      </c>
      <c r="E65" s="83">
        <v>33</v>
      </c>
      <c r="F65" s="83">
        <v>33</v>
      </c>
      <c r="G65" s="83">
        <v>35</v>
      </c>
      <c r="H65" s="83">
        <v>61</v>
      </c>
      <c r="I65" s="83">
        <v>67</v>
      </c>
      <c r="J65" s="83">
        <v>77</v>
      </c>
      <c r="K65" s="83">
        <v>78</v>
      </c>
      <c r="L65" s="83">
        <v>95</v>
      </c>
      <c r="M65" s="83">
        <v>99</v>
      </c>
      <c r="N65" s="83">
        <v>98</v>
      </c>
      <c r="O65" s="83">
        <v>105</v>
      </c>
      <c r="P65" s="83">
        <v>110</v>
      </c>
      <c r="Q65" s="83">
        <v>114</v>
      </c>
      <c r="R65" s="83">
        <v>115</v>
      </c>
      <c r="S65" s="83">
        <v>123</v>
      </c>
      <c r="T65" s="83">
        <v>132</v>
      </c>
      <c r="U65" s="83">
        <v>122</v>
      </c>
      <c r="V65" s="83">
        <v>118</v>
      </c>
      <c r="W65" s="83">
        <v>130</v>
      </c>
      <c r="X65" s="83">
        <v>125</v>
      </c>
      <c r="Y65" s="83">
        <v>123</v>
      </c>
      <c r="Z65" s="83">
        <v>124</v>
      </c>
      <c r="AA65" s="83">
        <v>124</v>
      </c>
      <c r="AB65" s="83">
        <v>124</v>
      </c>
      <c r="AC65" s="83">
        <v>129</v>
      </c>
      <c r="AD65" s="83">
        <v>122</v>
      </c>
      <c r="AE65" s="83">
        <v>131</v>
      </c>
      <c r="AF65" s="83">
        <v>118</v>
      </c>
      <c r="AG65" s="83">
        <v>111</v>
      </c>
      <c r="AH65" s="83">
        <v>112</v>
      </c>
      <c r="AI65" s="83">
        <v>111</v>
      </c>
      <c r="AJ65" s="83">
        <v>107</v>
      </c>
      <c r="AK65" s="83">
        <v>109</v>
      </c>
      <c r="AL65" s="83">
        <v>108</v>
      </c>
      <c r="AM65" s="83">
        <v>110</v>
      </c>
      <c r="AN65" s="83">
        <v>108</v>
      </c>
      <c r="AO65" s="83">
        <v>104</v>
      </c>
      <c r="AP65" s="83">
        <v>99</v>
      </c>
      <c r="AQ65" s="83">
        <v>105</v>
      </c>
      <c r="AR65" s="83">
        <v>97</v>
      </c>
      <c r="AS65" s="83">
        <v>69</v>
      </c>
      <c r="AT65" s="83">
        <v>55</v>
      </c>
      <c r="AU65" s="83">
        <v>52</v>
      </c>
      <c r="AV65" s="83">
        <v>52</v>
      </c>
      <c r="AW65" s="83">
        <v>51</v>
      </c>
    </row>
    <row r="66" spans="1:49" x14ac:dyDescent="0.15">
      <c r="A66" s="72"/>
      <c r="B66" s="65">
        <f t="shared" ref="B66:AC66" si="2">AVERAGE(B38:B65)</f>
        <v>56.5</v>
      </c>
      <c r="C66" s="65">
        <f t="shared" si="2"/>
        <v>41.071428571428569</v>
      </c>
      <c r="D66" s="65">
        <f t="shared" si="2"/>
        <v>39.035714285714285</v>
      </c>
      <c r="E66" s="65">
        <f t="shared" si="2"/>
        <v>35.214285714285715</v>
      </c>
      <c r="F66" s="65">
        <f t="shared" si="2"/>
        <v>36.071428571428569</v>
      </c>
      <c r="G66" s="65">
        <f t="shared" si="2"/>
        <v>39</v>
      </c>
      <c r="H66" s="65">
        <f t="shared" si="2"/>
        <v>38.607142857142854</v>
      </c>
      <c r="I66" s="65">
        <f t="shared" si="2"/>
        <v>36.535714285714285</v>
      </c>
      <c r="J66" s="65">
        <f t="shared" si="2"/>
        <v>34.785714285714285</v>
      </c>
      <c r="K66" s="65">
        <f t="shared" si="2"/>
        <v>35.214285714285715</v>
      </c>
      <c r="L66" s="65">
        <f t="shared" si="2"/>
        <v>39.607142857142854</v>
      </c>
      <c r="M66" s="65">
        <f t="shared" si="2"/>
        <v>52.821428571428569</v>
      </c>
      <c r="N66" s="65">
        <f t="shared" si="2"/>
        <v>95.714285714285708</v>
      </c>
      <c r="O66" s="65">
        <f t="shared" si="2"/>
        <v>91.285714285714292</v>
      </c>
      <c r="P66" s="65">
        <f t="shared" si="2"/>
        <v>102.14285714285714</v>
      </c>
      <c r="Q66" s="65">
        <f t="shared" si="2"/>
        <v>109.32142857142857</v>
      </c>
      <c r="R66" s="65">
        <f t="shared" si="2"/>
        <v>109.53571428571429</v>
      </c>
      <c r="S66" s="65">
        <f t="shared" si="2"/>
        <v>120.14285714285714</v>
      </c>
      <c r="T66" s="65">
        <f t="shared" si="2"/>
        <v>124.17857142857143</v>
      </c>
      <c r="U66" s="65">
        <f t="shared" si="2"/>
        <v>120.14285714285714</v>
      </c>
      <c r="V66" s="65">
        <f t="shared" si="2"/>
        <v>117.35714285714286</v>
      </c>
      <c r="W66" s="65">
        <f t="shared" si="2"/>
        <v>117.64285714285714</v>
      </c>
      <c r="X66" s="65">
        <f t="shared" si="2"/>
        <v>118.96428571428571</v>
      </c>
      <c r="Y66" s="65">
        <f t="shared" si="2"/>
        <v>120.35714285714286</v>
      </c>
      <c r="Z66" s="65">
        <f t="shared" si="2"/>
        <v>120.78571428571429</v>
      </c>
      <c r="AA66" s="65">
        <f t="shared" si="2"/>
        <v>123.39285714285714</v>
      </c>
      <c r="AB66" s="65">
        <f t="shared" si="2"/>
        <v>119.46428571428571</v>
      </c>
      <c r="AC66" s="65">
        <f t="shared" si="2"/>
        <v>120.25</v>
      </c>
      <c r="AD66" s="65">
        <f t="shared" ref="AD66:AW66" si="3">AVERAGE(AD35:AD65)</f>
        <v>115.38709677419355</v>
      </c>
      <c r="AE66" s="65">
        <f t="shared" si="3"/>
        <v>123.19354838709677</v>
      </c>
      <c r="AF66" s="65">
        <f t="shared" si="3"/>
        <v>118.48387096774194</v>
      </c>
      <c r="AG66" s="65">
        <f t="shared" si="3"/>
        <v>116.64516129032258</v>
      </c>
      <c r="AH66" s="65">
        <f t="shared" si="3"/>
        <v>113.19354838709677</v>
      </c>
      <c r="AI66" s="65">
        <f t="shared" si="3"/>
        <v>111.03225806451613</v>
      </c>
      <c r="AJ66" s="65">
        <f t="shared" si="3"/>
        <v>109.45161290322581</v>
      </c>
      <c r="AK66" s="65">
        <f t="shared" si="3"/>
        <v>108.19354838709677</v>
      </c>
      <c r="AL66" s="65">
        <f t="shared" si="3"/>
        <v>106.64516129032258</v>
      </c>
      <c r="AM66" s="65">
        <f t="shared" si="3"/>
        <v>111.2258064516129</v>
      </c>
      <c r="AN66" s="65">
        <f t="shared" si="3"/>
        <v>107.74193548387096</v>
      </c>
      <c r="AO66" s="65">
        <f t="shared" si="3"/>
        <v>106.83870967741936</v>
      </c>
      <c r="AP66" s="65">
        <f t="shared" si="3"/>
        <v>102.54838709677419</v>
      </c>
      <c r="AQ66" s="65">
        <f t="shared" si="3"/>
        <v>105.48387096774194</v>
      </c>
      <c r="AR66" s="65">
        <f t="shared" si="3"/>
        <v>101.12903225806451</v>
      </c>
      <c r="AS66" s="65">
        <f t="shared" si="3"/>
        <v>95.225806451612897</v>
      </c>
      <c r="AT66" s="65">
        <f t="shared" si="3"/>
        <v>91.096774193548384</v>
      </c>
      <c r="AU66" s="65">
        <f t="shared" si="3"/>
        <v>90.483870967741936</v>
      </c>
      <c r="AV66" s="65">
        <f t="shared" si="3"/>
        <v>89.290322580645167</v>
      </c>
      <c r="AW66" s="65">
        <f t="shared" si="3"/>
        <v>84.548387096774192</v>
      </c>
    </row>
    <row r="67" spans="1:49" x14ac:dyDescent="0.15">
      <c r="A67" s="72"/>
      <c r="B67" s="173">
        <f>AVERAGE(B38:C66)</f>
        <v>48.785714285714285</v>
      </c>
      <c r="C67" s="173"/>
      <c r="D67" s="173">
        <f>AVERAGE(D38:E66)</f>
        <v>37.125</v>
      </c>
      <c r="E67" s="173"/>
      <c r="F67" s="173">
        <f>AVERAGE(F38:G66)</f>
        <v>37.535714285714285</v>
      </c>
      <c r="G67" s="173"/>
      <c r="H67" s="173">
        <f>AVERAGE(H38:I66)</f>
        <v>37.571428571428569</v>
      </c>
      <c r="I67" s="173"/>
      <c r="J67" s="173">
        <f>AVERAGE(J38:K66)</f>
        <v>35</v>
      </c>
      <c r="K67" s="173"/>
      <c r="L67" s="173">
        <f>AVERAGE(L38:M66)</f>
        <v>46.214285714285708</v>
      </c>
      <c r="M67" s="173"/>
      <c r="N67" s="173">
        <f>AVERAGE(N38:O66)</f>
        <v>93.5</v>
      </c>
      <c r="O67" s="173"/>
      <c r="P67" s="173">
        <f>AVERAGE(P38:Q66)</f>
        <v>105.73214285714285</v>
      </c>
      <c r="Q67" s="173"/>
      <c r="R67" s="173">
        <f>AVERAGE(R38:S66)</f>
        <v>114.83928571428572</v>
      </c>
      <c r="S67" s="173"/>
      <c r="T67" s="173">
        <f>AVERAGE(T38:U66)</f>
        <v>122.16071428571428</v>
      </c>
      <c r="U67" s="173"/>
      <c r="V67" s="173">
        <f>AVERAGE(V38:W66)</f>
        <v>117.5</v>
      </c>
      <c r="W67" s="173"/>
      <c r="X67" s="173">
        <f>AVERAGE(X38:Y66)</f>
        <v>119.66071428571428</v>
      </c>
      <c r="Y67" s="173"/>
      <c r="Z67" s="173">
        <f>AVERAGE(Z38:AA66)</f>
        <v>122.08928571428572</v>
      </c>
      <c r="AA67" s="173"/>
      <c r="AB67" s="173">
        <f>AVERAGE(AB38:AC66)</f>
        <v>119.85714285714285</v>
      </c>
      <c r="AC67" s="173"/>
      <c r="AD67" s="173">
        <f>AVERAGE(AD35:AE66)</f>
        <v>119.29032258064515</v>
      </c>
      <c r="AE67" s="173"/>
      <c r="AF67" s="173">
        <f>AVERAGE(AF35:AG66)</f>
        <v>117.56451612903226</v>
      </c>
      <c r="AG67" s="173"/>
      <c r="AH67" s="173">
        <f>AVERAGE(AH35:AI66)</f>
        <v>112.11290322580645</v>
      </c>
      <c r="AI67" s="173"/>
      <c r="AJ67" s="173">
        <f>AVERAGE(AJ35:AK66)</f>
        <v>108.82258064516128</v>
      </c>
      <c r="AK67" s="173"/>
      <c r="AL67" s="173">
        <f>AVERAGE(AL35:AM66)</f>
        <v>108.93548387096774</v>
      </c>
      <c r="AM67" s="173"/>
      <c r="AN67" s="173">
        <f>AVERAGE(AN35:AO66)</f>
        <v>107.29032258064517</v>
      </c>
      <c r="AO67" s="173"/>
      <c r="AP67" s="173">
        <f>AVERAGE(AP35:AQ66)</f>
        <v>104.01612903225806</v>
      </c>
      <c r="AQ67" s="173"/>
      <c r="AR67" s="173">
        <f>AVERAGE(AR35:AS66)</f>
        <v>98.177419354838705</v>
      </c>
      <c r="AS67" s="173"/>
      <c r="AT67" s="173">
        <f>AVERAGE(AT35:AU66)</f>
        <v>90.790322580645153</v>
      </c>
      <c r="AU67" s="173"/>
      <c r="AV67" s="173">
        <f>AVERAGE(AV35:AW66)</f>
        <v>86.91935483870968</v>
      </c>
      <c r="AW67" s="173"/>
    </row>
    <row r="68" spans="1:49" x14ac:dyDescent="0.15">
      <c r="A68" s="83">
        <v>20210101</v>
      </c>
      <c r="B68" s="83">
        <v>49</v>
      </c>
      <c r="C68" s="83">
        <v>40</v>
      </c>
      <c r="D68" s="83">
        <v>38</v>
      </c>
      <c r="E68" s="83">
        <v>35</v>
      </c>
      <c r="F68" s="83">
        <v>36</v>
      </c>
      <c r="G68" s="83">
        <v>38</v>
      </c>
      <c r="H68" s="83">
        <v>36</v>
      </c>
      <c r="I68" s="83">
        <v>37</v>
      </c>
      <c r="J68" s="83">
        <v>33</v>
      </c>
      <c r="K68" s="83">
        <v>40</v>
      </c>
      <c r="L68" s="83">
        <v>107</v>
      </c>
      <c r="M68" s="83">
        <v>106</v>
      </c>
      <c r="N68" s="83">
        <v>112</v>
      </c>
      <c r="O68" s="83">
        <v>106</v>
      </c>
      <c r="P68" s="83">
        <v>103</v>
      </c>
      <c r="Q68" s="83">
        <v>105</v>
      </c>
      <c r="R68" s="83">
        <v>112</v>
      </c>
      <c r="S68" s="83">
        <v>120</v>
      </c>
      <c r="T68" s="83">
        <v>121</v>
      </c>
      <c r="U68" s="83">
        <v>115</v>
      </c>
      <c r="V68" s="83">
        <v>120</v>
      </c>
      <c r="W68" s="83">
        <v>122</v>
      </c>
      <c r="X68" s="83">
        <v>121</v>
      </c>
      <c r="Y68" s="83">
        <v>115</v>
      </c>
      <c r="Z68" s="83">
        <v>114</v>
      </c>
      <c r="AA68" s="83">
        <v>118</v>
      </c>
      <c r="AB68" s="83">
        <v>111</v>
      </c>
      <c r="AC68" s="83">
        <v>112</v>
      </c>
      <c r="AD68" s="83">
        <v>108</v>
      </c>
      <c r="AE68" s="83">
        <v>113</v>
      </c>
      <c r="AF68" s="83">
        <v>111</v>
      </c>
      <c r="AG68" s="83">
        <v>108</v>
      </c>
      <c r="AH68" s="83">
        <v>110</v>
      </c>
      <c r="AI68" s="83">
        <v>109</v>
      </c>
      <c r="AJ68" s="83">
        <v>109</v>
      </c>
      <c r="AK68" s="83">
        <v>106</v>
      </c>
      <c r="AL68" s="83">
        <v>101</v>
      </c>
      <c r="AM68" s="83">
        <v>106</v>
      </c>
      <c r="AN68" s="83">
        <v>96</v>
      </c>
      <c r="AO68" s="83">
        <v>90</v>
      </c>
      <c r="AP68" s="83">
        <v>83</v>
      </c>
      <c r="AQ68" s="83">
        <v>74</v>
      </c>
      <c r="AR68" s="83">
        <v>59</v>
      </c>
      <c r="AS68" s="83">
        <v>52</v>
      </c>
      <c r="AT68" s="83">
        <v>48</v>
      </c>
      <c r="AU68" s="83">
        <v>48</v>
      </c>
      <c r="AV68" s="83">
        <v>48</v>
      </c>
      <c r="AW68" s="83">
        <v>47</v>
      </c>
    </row>
    <row r="69" spans="1:49" x14ac:dyDescent="0.15">
      <c r="A69" s="83">
        <v>20210102</v>
      </c>
      <c r="B69" s="83">
        <v>46</v>
      </c>
      <c r="C69" s="83">
        <v>37</v>
      </c>
      <c r="D69" s="83">
        <v>36</v>
      </c>
      <c r="E69" s="83">
        <v>32</v>
      </c>
      <c r="F69" s="83">
        <v>34</v>
      </c>
      <c r="G69" s="83">
        <v>34</v>
      </c>
      <c r="H69" s="83">
        <v>33</v>
      </c>
      <c r="I69" s="83">
        <v>32</v>
      </c>
      <c r="J69" s="83">
        <v>29</v>
      </c>
      <c r="K69" s="83">
        <v>30</v>
      </c>
      <c r="L69" s="83">
        <v>60</v>
      </c>
      <c r="M69" s="83">
        <v>72</v>
      </c>
      <c r="N69" s="83">
        <v>102</v>
      </c>
      <c r="O69" s="83">
        <v>103</v>
      </c>
      <c r="P69" s="83">
        <v>98</v>
      </c>
      <c r="Q69" s="83">
        <v>104</v>
      </c>
      <c r="R69" s="83">
        <v>106</v>
      </c>
      <c r="S69" s="83">
        <v>121</v>
      </c>
      <c r="T69" s="83">
        <v>116</v>
      </c>
      <c r="U69" s="83">
        <v>112</v>
      </c>
      <c r="V69" s="83">
        <v>110</v>
      </c>
      <c r="W69" s="83">
        <v>106</v>
      </c>
      <c r="X69" s="83">
        <v>107</v>
      </c>
      <c r="Y69" s="83">
        <v>112</v>
      </c>
      <c r="Z69" s="83">
        <v>115</v>
      </c>
      <c r="AA69" s="83">
        <v>116</v>
      </c>
      <c r="AB69" s="83">
        <v>111</v>
      </c>
      <c r="AC69" s="83">
        <v>113</v>
      </c>
      <c r="AD69" s="83">
        <v>108</v>
      </c>
      <c r="AE69" s="83">
        <v>117</v>
      </c>
      <c r="AF69" s="83">
        <v>111</v>
      </c>
      <c r="AG69" s="83">
        <v>103</v>
      </c>
      <c r="AH69" s="83">
        <v>105</v>
      </c>
      <c r="AI69" s="83">
        <v>106</v>
      </c>
      <c r="AJ69" s="83">
        <v>108</v>
      </c>
      <c r="AK69" s="83">
        <v>110</v>
      </c>
      <c r="AL69" s="83">
        <v>103</v>
      </c>
      <c r="AM69" s="83">
        <v>104</v>
      </c>
      <c r="AN69" s="83">
        <v>101</v>
      </c>
      <c r="AO69" s="83">
        <v>97</v>
      </c>
      <c r="AP69" s="83">
        <v>95</v>
      </c>
      <c r="AQ69" s="83">
        <v>96</v>
      </c>
      <c r="AR69" s="83">
        <v>77</v>
      </c>
      <c r="AS69" s="83">
        <v>52</v>
      </c>
      <c r="AT69" s="83">
        <v>49</v>
      </c>
      <c r="AU69" s="83">
        <v>48</v>
      </c>
      <c r="AV69" s="83">
        <v>48</v>
      </c>
      <c r="AW69" s="83">
        <v>47</v>
      </c>
    </row>
    <row r="70" spans="1:49" x14ac:dyDescent="0.15">
      <c r="A70" s="83">
        <v>20210103</v>
      </c>
      <c r="B70" s="83">
        <v>46</v>
      </c>
      <c r="C70" s="83">
        <v>38</v>
      </c>
      <c r="D70" s="83">
        <v>34</v>
      </c>
      <c r="E70" s="83">
        <v>32</v>
      </c>
      <c r="F70" s="83">
        <v>34</v>
      </c>
      <c r="G70" s="83">
        <v>36</v>
      </c>
      <c r="H70" s="83">
        <v>32</v>
      </c>
      <c r="I70" s="83">
        <v>31</v>
      </c>
      <c r="J70" s="83">
        <v>29</v>
      </c>
      <c r="K70" s="83">
        <v>46</v>
      </c>
      <c r="L70" s="83">
        <v>67</v>
      </c>
      <c r="M70" s="83">
        <v>63</v>
      </c>
      <c r="N70" s="83">
        <v>90</v>
      </c>
      <c r="O70" s="83">
        <v>93</v>
      </c>
      <c r="P70" s="83">
        <v>98</v>
      </c>
      <c r="Q70" s="83">
        <v>105</v>
      </c>
      <c r="R70" s="83">
        <v>112</v>
      </c>
      <c r="S70" s="83">
        <v>113</v>
      </c>
      <c r="T70" s="83">
        <v>115</v>
      </c>
      <c r="U70" s="83">
        <v>110</v>
      </c>
      <c r="V70" s="83">
        <v>110</v>
      </c>
      <c r="W70" s="83">
        <v>113</v>
      </c>
      <c r="X70" s="83">
        <v>111</v>
      </c>
      <c r="Y70" s="83">
        <v>116</v>
      </c>
      <c r="Z70" s="83">
        <v>118</v>
      </c>
      <c r="AA70" s="83">
        <v>116</v>
      </c>
      <c r="AB70" s="83">
        <v>112</v>
      </c>
      <c r="AC70" s="83">
        <v>115</v>
      </c>
      <c r="AD70" s="83">
        <v>113</v>
      </c>
      <c r="AE70" s="83">
        <v>118</v>
      </c>
      <c r="AF70" s="83">
        <v>114</v>
      </c>
      <c r="AG70" s="83">
        <v>113</v>
      </c>
      <c r="AH70" s="83">
        <v>108</v>
      </c>
      <c r="AI70" s="83">
        <v>106</v>
      </c>
      <c r="AJ70" s="83">
        <v>106</v>
      </c>
      <c r="AK70" s="83">
        <v>108</v>
      </c>
      <c r="AL70" s="83">
        <v>109</v>
      </c>
      <c r="AM70" s="83">
        <v>106</v>
      </c>
      <c r="AN70" s="83">
        <v>102</v>
      </c>
      <c r="AO70" s="83">
        <v>106</v>
      </c>
      <c r="AP70" s="83">
        <v>100</v>
      </c>
      <c r="AQ70" s="83">
        <v>100</v>
      </c>
      <c r="AR70" s="83">
        <v>96</v>
      </c>
      <c r="AS70" s="83">
        <v>89</v>
      </c>
      <c r="AT70" s="83">
        <v>87</v>
      </c>
      <c r="AU70" s="83">
        <v>86</v>
      </c>
      <c r="AV70" s="83">
        <v>85</v>
      </c>
      <c r="AW70" s="83">
        <v>82</v>
      </c>
    </row>
    <row r="71" spans="1:49" x14ac:dyDescent="0.15">
      <c r="A71" s="83">
        <v>20210104</v>
      </c>
      <c r="B71" s="83">
        <v>50</v>
      </c>
      <c r="C71" s="83">
        <v>37</v>
      </c>
      <c r="D71" s="83">
        <v>35</v>
      </c>
      <c r="E71" s="83">
        <v>33</v>
      </c>
      <c r="F71" s="83">
        <v>35</v>
      </c>
      <c r="G71" s="83">
        <v>37</v>
      </c>
      <c r="H71" s="83">
        <v>34</v>
      </c>
      <c r="I71" s="83">
        <v>32</v>
      </c>
      <c r="J71" s="83">
        <v>31</v>
      </c>
      <c r="K71" s="83">
        <v>29</v>
      </c>
      <c r="L71" s="83">
        <v>36</v>
      </c>
      <c r="M71" s="83">
        <v>46</v>
      </c>
      <c r="N71" s="83">
        <v>96</v>
      </c>
      <c r="O71" s="83">
        <v>90</v>
      </c>
      <c r="P71" s="83">
        <v>109</v>
      </c>
      <c r="Q71" s="83">
        <v>118</v>
      </c>
      <c r="R71" s="83">
        <v>109</v>
      </c>
      <c r="S71" s="83">
        <v>112</v>
      </c>
      <c r="T71" s="83">
        <v>119</v>
      </c>
      <c r="U71" s="83">
        <v>116</v>
      </c>
      <c r="V71" s="83">
        <v>115</v>
      </c>
      <c r="W71" s="83">
        <v>114</v>
      </c>
      <c r="X71" s="83">
        <v>111</v>
      </c>
      <c r="Y71" s="83">
        <v>111</v>
      </c>
      <c r="Z71" s="83">
        <v>121</v>
      </c>
      <c r="AA71" s="83">
        <v>125</v>
      </c>
      <c r="AB71" s="83">
        <v>118</v>
      </c>
      <c r="AC71" s="83">
        <v>117</v>
      </c>
      <c r="AD71" s="83">
        <v>113</v>
      </c>
      <c r="AE71" s="83">
        <v>125</v>
      </c>
      <c r="AF71" s="83">
        <v>115</v>
      </c>
      <c r="AG71" s="83">
        <v>113</v>
      </c>
      <c r="AH71" s="83">
        <v>110</v>
      </c>
      <c r="AI71" s="83">
        <v>109</v>
      </c>
      <c r="AJ71" s="83">
        <v>105</v>
      </c>
      <c r="AK71" s="83">
        <v>105</v>
      </c>
      <c r="AL71" s="83">
        <v>110</v>
      </c>
      <c r="AM71" s="83">
        <v>113</v>
      </c>
      <c r="AN71" s="83">
        <v>107</v>
      </c>
      <c r="AO71" s="83">
        <v>105</v>
      </c>
      <c r="AP71" s="83">
        <v>101</v>
      </c>
      <c r="AQ71" s="83">
        <v>106</v>
      </c>
      <c r="AR71" s="83">
        <v>93</v>
      </c>
      <c r="AS71" s="83">
        <v>89</v>
      </c>
      <c r="AT71" s="83">
        <v>84</v>
      </c>
      <c r="AU71" s="83">
        <v>87</v>
      </c>
      <c r="AV71" s="83">
        <v>84</v>
      </c>
      <c r="AW71" s="83">
        <v>84</v>
      </c>
    </row>
    <row r="72" spans="1:49" x14ac:dyDescent="0.15">
      <c r="A72" s="83">
        <v>20210105</v>
      </c>
      <c r="B72" s="83">
        <v>52</v>
      </c>
      <c r="C72" s="83">
        <v>36</v>
      </c>
      <c r="D72" s="83">
        <v>35</v>
      </c>
      <c r="E72" s="83">
        <v>30</v>
      </c>
      <c r="F72" s="83">
        <v>34</v>
      </c>
      <c r="G72" s="83">
        <v>36</v>
      </c>
      <c r="H72" s="83">
        <v>32</v>
      </c>
      <c r="I72" s="83">
        <v>32</v>
      </c>
      <c r="J72" s="83">
        <v>29</v>
      </c>
      <c r="K72" s="83">
        <v>30</v>
      </c>
      <c r="L72" s="83">
        <v>32</v>
      </c>
      <c r="M72" s="83">
        <v>72</v>
      </c>
      <c r="N72" s="83">
        <v>92</v>
      </c>
      <c r="O72" s="83">
        <v>84</v>
      </c>
      <c r="P72" s="83">
        <v>105</v>
      </c>
      <c r="Q72" s="83">
        <v>110</v>
      </c>
      <c r="R72" s="83">
        <v>111</v>
      </c>
      <c r="S72" s="83">
        <v>120</v>
      </c>
      <c r="T72" s="83">
        <v>124</v>
      </c>
      <c r="U72" s="83">
        <v>116</v>
      </c>
      <c r="V72" s="83">
        <v>110</v>
      </c>
      <c r="W72" s="83">
        <v>108</v>
      </c>
      <c r="X72" s="83">
        <v>109</v>
      </c>
      <c r="Y72" s="83">
        <v>110</v>
      </c>
      <c r="Z72" s="83">
        <v>116</v>
      </c>
      <c r="AA72" s="83">
        <v>117</v>
      </c>
      <c r="AB72" s="83">
        <v>110</v>
      </c>
      <c r="AC72" s="83">
        <v>111</v>
      </c>
      <c r="AD72" s="83">
        <v>105</v>
      </c>
      <c r="AE72" s="83">
        <v>113</v>
      </c>
      <c r="AF72" s="83">
        <v>105</v>
      </c>
      <c r="AG72" s="83">
        <v>106</v>
      </c>
      <c r="AH72" s="83">
        <v>100</v>
      </c>
      <c r="AI72" s="83">
        <v>101</v>
      </c>
      <c r="AJ72" s="83">
        <v>101</v>
      </c>
      <c r="AK72" s="83">
        <v>103</v>
      </c>
      <c r="AL72" s="83">
        <v>102</v>
      </c>
      <c r="AM72" s="83">
        <v>101</v>
      </c>
      <c r="AN72" s="83">
        <v>101</v>
      </c>
      <c r="AO72" s="83">
        <v>100</v>
      </c>
      <c r="AP72" s="83">
        <v>93</v>
      </c>
      <c r="AQ72" s="83">
        <v>95</v>
      </c>
      <c r="AR72" s="83">
        <v>92</v>
      </c>
      <c r="AS72" s="83">
        <v>85</v>
      </c>
      <c r="AT72" s="83">
        <v>81</v>
      </c>
      <c r="AU72" s="83">
        <v>83</v>
      </c>
      <c r="AV72" s="83">
        <v>78</v>
      </c>
      <c r="AW72" s="83">
        <v>76</v>
      </c>
    </row>
    <row r="73" spans="1:49" x14ac:dyDescent="0.15">
      <c r="A73" s="83">
        <v>20210106</v>
      </c>
      <c r="B73" s="83">
        <v>53</v>
      </c>
      <c r="C73" s="83">
        <v>38</v>
      </c>
      <c r="D73" s="83">
        <v>35</v>
      </c>
      <c r="E73" s="83">
        <v>32</v>
      </c>
      <c r="F73" s="83">
        <v>35</v>
      </c>
      <c r="G73" s="83">
        <v>36</v>
      </c>
      <c r="H73" s="83">
        <v>34</v>
      </c>
      <c r="I73" s="83">
        <v>32</v>
      </c>
      <c r="J73" s="83">
        <v>31</v>
      </c>
      <c r="K73" s="83">
        <v>30</v>
      </c>
      <c r="L73" s="83">
        <v>30</v>
      </c>
      <c r="M73" s="83">
        <v>50</v>
      </c>
      <c r="N73" s="83">
        <v>84</v>
      </c>
      <c r="O73" s="83">
        <v>85</v>
      </c>
      <c r="P73" s="83">
        <v>101</v>
      </c>
      <c r="Q73" s="83">
        <v>110</v>
      </c>
      <c r="R73" s="83">
        <v>108</v>
      </c>
      <c r="S73" s="83">
        <v>114</v>
      </c>
      <c r="T73" s="83">
        <v>120</v>
      </c>
      <c r="U73" s="83">
        <v>112</v>
      </c>
      <c r="V73" s="83">
        <v>108</v>
      </c>
      <c r="W73" s="83">
        <v>107</v>
      </c>
      <c r="X73" s="83">
        <v>109</v>
      </c>
      <c r="Y73" s="83">
        <v>113</v>
      </c>
      <c r="Z73" s="83">
        <v>117</v>
      </c>
      <c r="AA73" s="83">
        <v>124</v>
      </c>
      <c r="AB73" s="83">
        <v>116</v>
      </c>
      <c r="AC73" s="83">
        <v>119</v>
      </c>
      <c r="AD73" s="83">
        <v>109</v>
      </c>
      <c r="AE73" s="83">
        <v>116</v>
      </c>
      <c r="AF73" s="83">
        <v>115</v>
      </c>
      <c r="AG73" s="83">
        <v>112</v>
      </c>
      <c r="AH73" s="83">
        <v>108</v>
      </c>
      <c r="AI73" s="83">
        <v>107</v>
      </c>
      <c r="AJ73" s="83">
        <v>101</v>
      </c>
      <c r="AK73" s="83">
        <v>103</v>
      </c>
      <c r="AL73" s="83">
        <v>102</v>
      </c>
      <c r="AM73" s="83">
        <v>112</v>
      </c>
      <c r="AN73" s="83">
        <v>110</v>
      </c>
      <c r="AO73" s="83">
        <v>105</v>
      </c>
      <c r="AP73" s="83">
        <v>98</v>
      </c>
      <c r="AQ73" s="83">
        <v>103</v>
      </c>
      <c r="AR73" s="83">
        <v>97</v>
      </c>
      <c r="AS73" s="83">
        <v>94</v>
      </c>
      <c r="AT73" s="83">
        <v>88</v>
      </c>
      <c r="AU73" s="83">
        <v>89</v>
      </c>
      <c r="AV73" s="83">
        <v>87</v>
      </c>
      <c r="AW73" s="83">
        <v>82</v>
      </c>
    </row>
    <row r="74" spans="1:49" x14ac:dyDescent="0.15">
      <c r="A74" s="83">
        <v>20210107</v>
      </c>
      <c r="B74" s="83">
        <v>50</v>
      </c>
      <c r="C74" s="83">
        <v>38</v>
      </c>
      <c r="D74" s="83">
        <v>36</v>
      </c>
      <c r="E74" s="83">
        <v>32</v>
      </c>
      <c r="F74" s="83">
        <v>33</v>
      </c>
      <c r="G74" s="83">
        <v>37</v>
      </c>
      <c r="H74" s="83">
        <v>33</v>
      </c>
      <c r="I74" s="83">
        <v>32</v>
      </c>
      <c r="J74" s="83">
        <v>30</v>
      </c>
      <c r="K74" s="83">
        <v>30</v>
      </c>
      <c r="L74" s="83">
        <v>32</v>
      </c>
      <c r="M74" s="83">
        <v>63</v>
      </c>
      <c r="N74" s="83">
        <v>90</v>
      </c>
      <c r="O74" s="83">
        <v>87</v>
      </c>
      <c r="P74" s="83">
        <v>103</v>
      </c>
      <c r="Q74" s="83">
        <v>113</v>
      </c>
      <c r="R74" s="83">
        <v>108</v>
      </c>
      <c r="S74" s="83">
        <v>120</v>
      </c>
      <c r="T74" s="83">
        <v>124</v>
      </c>
      <c r="U74" s="83">
        <v>116</v>
      </c>
      <c r="V74" s="83">
        <v>114</v>
      </c>
      <c r="W74" s="83">
        <v>113</v>
      </c>
      <c r="X74" s="83">
        <v>121</v>
      </c>
      <c r="Y74" s="83">
        <v>120</v>
      </c>
      <c r="Z74" s="83">
        <v>127</v>
      </c>
      <c r="AA74" s="83">
        <v>124</v>
      </c>
      <c r="AB74" s="83">
        <v>116</v>
      </c>
      <c r="AC74" s="83">
        <v>119</v>
      </c>
      <c r="AD74" s="83">
        <v>116</v>
      </c>
      <c r="AE74" s="83">
        <v>115</v>
      </c>
      <c r="AF74" s="83">
        <v>115</v>
      </c>
      <c r="AG74" s="83">
        <v>109</v>
      </c>
      <c r="AH74" s="83">
        <v>105</v>
      </c>
      <c r="AI74" s="83">
        <v>104</v>
      </c>
      <c r="AJ74" s="83">
        <v>103</v>
      </c>
      <c r="AK74" s="83">
        <v>96</v>
      </c>
      <c r="AL74" s="83">
        <v>97</v>
      </c>
      <c r="AM74" s="83">
        <v>103</v>
      </c>
      <c r="AN74" s="83">
        <v>100</v>
      </c>
      <c r="AO74" s="83">
        <v>101</v>
      </c>
      <c r="AP74" s="83">
        <v>98</v>
      </c>
      <c r="AQ74" s="83">
        <v>98</v>
      </c>
      <c r="AR74" s="83">
        <v>92</v>
      </c>
      <c r="AS74" s="83">
        <v>86</v>
      </c>
      <c r="AT74" s="83">
        <v>83</v>
      </c>
      <c r="AU74" s="83">
        <v>85</v>
      </c>
      <c r="AV74" s="83">
        <v>82</v>
      </c>
      <c r="AW74" s="83">
        <v>83</v>
      </c>
    </row>
    <row r="75" spans="1:49" x14ac:dyDescent="0.15">
      <c r="A75" s="83">
        <v>20210108</v>
      </c>
      <c r="B75" s="83">
        <v>52</v>
      </c>
      <c r="C75" s="83">
        <v>37</v>
      </c>
      <c r="D75" s="83">
        <v>34</v>
      </c>
      <c r="E75" s="83">
        <v>31</v>
      </c>
      <c r="F75" s="83">
        <v>31</v>
      </c>
      <c r="G75" s="83">
        <v>35</v>
      </c>
      <c r="H75" s="83">
        <v>32</v>
      </c>
      <c r="I75" s="83">
        <v>31</v>
      </c>
      <c r="J75" s="83">
        <v>29</v>
      </c>
      <c r="K75" s="83">
        <v>28</v>
      </c>
      <c r="L75" s="83">
        <v>31</v>
      </c>
      <c r="M75" s="83">
        <v>43</v>
      </c>
      <c r="N75" s="83">
        <v>98</v>
      </c>
      <c r="O75" s="83">
        <v>90</v>
      </c>
      <c r="P75" s="83">
        <v>103</v>
      </c>
      <c r="Q75" s="83">
        <v>113</v>
      </c>
      <c r="R75" s="83">
        <v>109</v>
      </c>
      <c r="S75" s="83">
        <v>115</v>
      </c>
      <c r="T75" s="83">
        <v>121</v>
      </c>
      <c r="U75" s="83">
        <v>115</v>
      </c>
      <c r="V75" s="83">
        <v>115</v>
      </c>
      <c r="W75" s="83">
        <v>112</v>
      </c>
      <c r="X75" s="83">
        <v>112</v>
      </c>
      <c r="Y75" s="83">
        <v>117</v>
      </c>
      <c r="Z75" s="83">
        <v>115</v>
      </c>
      <c r="AA75" s="83">
        <v>116</v>
      </c>
      <c r="AB75" s="83">
        <v>110</v>
      </c>
      <c r="AC75" s="83">
        <v>106</v>
      </c>
      <c r="AD75" s="83">
        <v>103</v>
      </c>
      <c r="AE75" s="83">
        <v>114</v>
      </c>
      <c r="AF75" s="83">
        <v>106</v>
      </c>
      <c r="AG75" s="83">
        <v>104</v>
      </c>
      <c r="AH75" s="83">
        <v>102</v>
      </c>
      <c r="AI75" s="83">
        <v>101</v>
      </c>
      <c r="AJ75" s="83">
        <v>98</v>
      </c>
      <c r="AK75" s="83">
        <v>99</v>
      </c>
      <c r="AL75" s="83">
        <v>98</v>
      </c>
      <c r="AM75" s="83">
        <v>102</v>
      </c>
      <c r="AN75" s="83">
        <v>98</v>
      </c>
      <c r="AO75" s="83">
        <v>100</v>
      </c>
      <c r="AP75" s="83">
        <v>100</v>
      </c>
      <c r="AQ75" s="83">
        <v>94</v>
      </c>
      <c r="AR75" s="83">
        <v>88</v>
      </c>
      <c r="AS75" s="83">
        <v>83</v>
      </c>
      <c r="AT75" s="83">
        <v>81</v>
      </c>
      <c r="AU75" s="83">
        <v>80</v>
      </c>
      <c r="AV75" s="83">
        <v>80</v>
      </c>
      <c r="AW75" s="83">
        <v>80</v>
      </c>
    </row>
    <row r="76" spans="1:49" x14ac:dyDescent="0.15">
      <c r="A76" s="83">
        <v>20210109</v>
      </c>
      <c r="B76" s="83">
        <v>51</v>
      </c>
      <c r="C76" s="83">
        <v>36</v>
      </c>
      <c r="D76" s="83">
        <v>34</v>
      </c>
      <c r="E76" s="83">
        <v>29</v>
      </c>
      <c r="F76" s="83">
        <v>33</v>
      </c>
      <c r="G76" s="83">
        <v>34</v>
      </c>
      <c r="H76" s="83">
        <v>33</v>
      </c>
      <c r="I76" s="83">
        <v>31</v>
      </c>
      <c r="J76" s="83">
        <v>29</v>
      </c>
      <c r="K76" s="83">
        <v>29</v>
      </c>
      <c r="L76" s="83">
        <v>35</v>
      </c>
      <c r="M76" s="83">
        <v>44</v>
      </c>
      <c r="N76" s="83">
        <v>80</v>
      </c>
      <c r="O76" s="83">
        <v>82</v>
      </c>
      <c r="P76" s="83">
        <v>95</v>
      </c>
      <c r="Q76" s="83">
        <v>95</v>
      </c>
      <c r="R76" s="83">
        <v>109</v>
      </c>
      <c r="S76" s="83">
        <v>115</v>
      </c>
      <c r="T76" s="83">
        <v>120</v>
      </c>
      <c r="U76" s="83">
        <v>115</v>
      </c>
      <c r="V76" s="83">
        <v>111</v>
      </c>
      <c r="W76" s="83">
        <v>111</v>
      </c>
      <c r="X76" s="83">
        <v>110</v>
      </c>
      <c r="Y76" s="83">
        <v>119</v>
      </c>
      <c r="Z76" s="83">
        <v>123</v>
      </c>
      <c r="AA76" s="83">
        <v>119</v>
      </c>
      <c r="AB76" s="83">
        <v>116</v>
      </c>
      <c r="AC76" s="83">
        <v>111</v>
      </c>
      <c r="AD76" s="83">
        <v>110</v>
      </c>
      <c r="AE76" s="83">
        <v>116</v>
      </c>
      <c r="AF76" s="83">
        <v>112</v>
      </c>
      <c r="AG76" s="83">
        <v>107</v>
      </c>
      <c r="AH76" s="83">
        <v>109</v>
      </c>
      <c r="AI76" s="83">
        <v>109</v>
      </c>
      <c r="AJ76" s="83">
        <v>108</v>
      </c>
      <c r="AK76" s="83">
        <v>103</v>
      </c>
      <c r="AL76" s="83">
        <v>100</v>
      </c>
      <c r="AM76" s="83">
        <v>103</v>
      </c>
      <c r="AN76" s="83">
        <v>98</v>
      </c>
      <c r="AO76" s="83">
        <v>103</v>
      </c>
      <c r="AP76" s="83">
        <v>99</v>
      </c>
      <c r="AQ76" s="83">
        <v>98</v>
      </c>
      <c r="AR76" s="83">
        <v>93</v>
      </c>
      <c r="AS76" s="83">
        <v>87</v>
      </c>
      <c r="AT76" s="83">
        <v>84</v>
      </c>
      <c r="AU76" s="83">
        <v>85</v>
      </c>
      <c r="AV76" s="83">
        <v>85</v>
      </c>
      <c r="AW76" s="83">
        <v>80</v>
      </c>
    </row>
    <row r="77" spans="1:49" x14ac:dyDescent="0.15">
      <c r="A77" s="83">
        <v>20210110</v>
      </c>
      <c r="B77" s="83">
        <v>56</v>
      </c>
      <c r="C77" s="83">
        <v>36</v>
      </c>
      <c r="D77" s="83">
        <v>35</v>
      </c>
      <c r="E77" s="83">
        <v>30</v>
      </c>
      <c r="F77" s="83">
        <v>32</v>
      </c>
      <c r="G77" s="83">
        <v>36</v>
      </c>
      <c r="H77" s="83">
        <v>32</v>
      </c>
      <c r="I77" s="83">
        <v>32</v>
      </c>
      <c r="J77" s="83">
        <v>29</v>
      </c>
      <c r="K77" s="83">
        <v>30</v>
      </c>
      <c r="L77" s="83">
        <v>29</v>
      </c>
      <c r="M77" s="83">
        <v>41</v>
      </c>
      <c r="N77" s="83">
        <v>93</v>
      </c>
      <c r="O77" s="83">
        <v>89</v>
      </c>
      <c r="P77" s="83">
        <v>97</v>
      </c>
      <c r="Q77" s="83">
        <v>100</v>
      </c>
      <c r="R77" s="83">
        <v>98</v>
      </c>
      <c r="S77" s="83">
        <v>115</v>
      </c>
      <c r="T77" s="83">
        <v>112</v>
      </c>
      <c r="U77" s="83">
        <v>117</v>
      </c>
      <c r="V77" s="83">
        <v>111</v>
      </c>
      <c r="W77" s="83">
        <v>107</v>
      </c>
      <c r="X77" s="83">
        <v>110</v>
      </c>
      <c r="Y77" s="83">
        <v>113</v>
      </c>
      <c r="Z77" s="83">
        <v>112</v>
      </c>
      <c r="AA77" s="83">
        <v>117</v>
      </c>
      <c r="AB77" s="83">
        <v>113</v>
      </c>
      <c r="AC77" s="83">
        <v>115</v>
      </c>
      <c r="AD77" s="83">
        <v>114</v>
      </c>
      <c r="AE77" s="83">
        <v>115</v>
      </c>
      <c r="AF77" s="83">
        <v>111</v>
      </c>
      <c r="AG77" s="83">
        <v>109</v>
      </c>
      <c r="AH77" s="83">
        <v>103</v>
      </c>
      <c r="AI77" s="83">
        <v>104</v>
      </c>
      <c r="AJ77" s="83">
        <v>101</v>
      </c>
      <c r="AK77" s="83">
        <v>102</v>
      </c>
      <c r="AL77" s="83">
        <v>104</v>
      </c>
      <c r="AM77" s="83">
        <v>110</v>
      </c>
      <c r="AN77" s="83">
        <v>100</v>
      </c>
      <c r="AO77" s="83">
        <v>101</v>
      </c>
      <c r="AP77" s="83">
        <v>96</v>
      </c>
      <c r="AQ77" s="83">
        <v>100</v>
      </c>
      <c r="AR77" s="83">
        <v>95</v>
      </c>
      <c r="AS77" s="83">
        <v>90</v>
      </c>
      <c r="AT77" s="83">
        <v>84</v>
      </c>
      <c r="AU77" s="83">
        <v>84</v>
      </c>
      <c r="AV77" s="83">
        <v>83</v>
      </c>
      <c r="AW77" s="83">
        <v>83</v>
      </c>
    </row>
    <row r="78" spans="1:49" x14ac:dyDescent="0.15">
      <c r="A78" s="83">
        <v>20210111</v>
      </c>
      <c r="B78" s="83">
        <v>52</v>
      </c>
      <c r="C78" s="83">
        <v>37</v>
      </c>
      <c r="D78" s="83">
        <v>34</v>
      </c>
      <c r="E78" s="83">
        <v>31</v>
      </c>
      <c r="F78" s="83">
        <v>32</v>
      </c>
      <c r="G78" s="83">
        <v>35</v>
      </c>
      <c r="H78" s="83">
        <v>33</v>
      </c>
      <c r="I78" s="83">
        <v>32</v>
      </c>
      <c r="J78" s="83">
        <v>29</v>
      </c>
      <c r="K78" s="83">
        <v>29</v>
      </c>
      <c r="L78" s="83">
        <v>30</v>
      </c>
      <c r="M78" s="83">
        <v>39</v>
      </c>
      <c r="N78" s="83">
        <v>93</v>
      </c>
      <c r="O78" s="83">
        <v>88</v>
      </c>
      <c r="P78" s="83">
        <v>104</v>
      </c>
      <c r="Q78" s="83">
        <v>103</v>
      </c>
      <c r="R78" s="83">
        <v>108</v>
      </c>
      <c r="S78" s="83">
        <v>111</v>
      </c>
      <c r="T78" s="83">
        <v>118</v>
      </c>
      <c r="U78" s="83">
        <v>117</v>
      </c>
      <c r="V78" s="83">
        <v>110</v>
      </c>
      <c r="W78" s="83">
        <v>109</v>
      </c>
      <c r="X78" s="83">
        <v>117</v>
      </c>
      <c r="Y78" s="83">
        <v>115</v>
      </c>
      <c r="Z78" s="83">
        <v>113</v>
      </c>
      <c r="AA78" s="83">
        <v>120</v>
      </c>
      <c r="AB78" s="83">
        <v>120</v>
      </c>
      <c r="AC78" s="83">
        <v>111</v>
      </c>
      <c r="AD78" s="83">
        <v>109</v>
      </c>
      <c r="AE78" s="83">
        <v>116</v>
      </c>
      <c r="AF78" s="83">
        <v>111</v>
      </c>
      <c r="AG78" s="83">
        <v>109</v>
      </c>
      <c r="AH78" s="83">
        <v>104</v>
      </c>
      <c r="AI78" s="83">
        <v>105</v>
      </c>
      <c r="AJ78" s="83">
        <v>107</v>
      </c>
      <c r="AK78" s="83">
        <v>103</v>
      </c>
      <c r="AL78" s="83">
        <v>100</v>
      </c>
      <c r="AM78" s="83">
        <v>105</v>
      </c>
      <c r="AN78" s="83">
        <v>101</v>
      </c>
      <c r="AO78" s="83">
        <v>100</v>
      </c>
      <c r="AP78" s="83">
        <v>101</v>
      </c>
      <c r="AQ78" s="83">
        <v>99</v>
      </c>
      <c r="AR78" s="83">
        <v>94</v>
      </c>
      <c r="AS78" s="83">
        <v>87</v>
      </c>
      <c r="AT78" s="83">
        <v>84</v>
      </c>
      <c r="AU78" s="83">
        <v>85</v>
      </c>
      <c r="AV78" s="83">
        <v>82</v>
      </c>
      <c r="AW78" s="83">
        <v>83</v>
      </c>
    </row>
    <row r="79" spans="1:49" x14ac:dyDescent="0.15">
      <c r="A79" s="83">
        <v>20210112</v>
      </c>
      <c r="B79" s="83">
        <v>68</v>
      </c>
      <c r="C79" s="83">
        <v>59</v>
      </c>
      <c r="D79" s="83">
        <v>56</v>
      </c>
      <c r="E79" s="83">
        <v>52</v>
      </c>
      <c r="F79" s="83">
        <v>53</v>
      </c>
      <c r="G79" s="83">
        <v>57</v>
      </c>
      <c r="H79" s="83">
        <v>54</v>
      </c>
      <c r="I79" s="83">
        <v>53</v>
      </c>
      <c r="J79" s="83">
        <v>52</v>
      </c>
      <c r="K79" s="83">
        <v>50</v>
      </c>
      <c r="L79" s="83">
        <v>53</v>
      </c>
      <c r="M79" s="83">
        <v>55</v>
      </c>
      <c r="N79" s="83">
        <v>93</v>
      </c>
      <c r="O79" s="83">
        <v>86</v>
      </c>
      <c r="P79" s="83">
        <v>103</v>
      </c>
      <c r="Q79" s="83">
        <v>112</v>
      </c>
      <c r="R79" s="83">
        <v>111</v>
      </c>
      <c r="S79" s="83">
        <v>117</v>
      </c>
      <c r="T79" s="83">
        <v>118</v>
      </c>
      <c r="U79" s="83">
        <v>116</v>
      </c>
      <c r="V79" s="83">
        <v>115</v>
      </c>
      <c r="W79" s="83">
        <v>111</v>
      </c>
      <c r="X79" s="83">
        <v>114</v>
      </c>
      <c r="Y79" s="83">
        <v>121</v>
      </c>
      <c r="Z79" s="83">
        <v>119</v>
      </c>
      <c r="AA79" s="83">
        <v>115</v>
      </c>
      <c r="AB79" s="83">
        <v>115</v>
      </c>
      <c r="AC79" s="83">
        <v>116</v>
      </c>
      <c r="AD79" s="83">
        <v>116</v>
      </c>
      <c r="AE79" s="83">
        <v>116</v>
      </c>
      <c r="AF79" s="83">
        <v>110</v>
      </c>
      <c r="AG79" s="83">
        <v>106</v>
      </c>
      <c r="AH79" s="83">
        <v>104</v>
      </c>
      <c r="AI79" s="83">
        <v>104</v>
      </c>
      <c r="AJ79" s="83">
        <v>103</v>
      </c>
      <c r="AK79" s="83">
        <v>106</v>
      </c>
      <c r="AL79" s="83">
        <v>107</v>
      </c>
      <c r="AM79" s="83">
        <v>104</v>
      </c>
      <c r="AN79" s="83">
        <v>103</v>
      </c>
      <c r="AO79" s="83">
        <v>103</v>
      </c>
      <c r="AP79" s="83">
        <v>92</v>
      </c>
      <c r="AQ79" s="83">
        <v>98</v>
      </c>
      <c r="AR79" s="83">
        <v>93</v>
      </c>
      <c r="AS79" s="83">
        <v>86</v>
      </c>
      <c r="AT79" s="83">
        <v>83</v>
      </c>
      <c r="AU79" s="83">
        <v>84</v>
      </c>
      <c r="AV79" s="83">
        <v>82</v>
      </c>
      <c r="AW79" s="83">
        <v>81</v>
      </c>
    </row>
    <row r="80" spans="1:49" x14ac:dyDescent="0.15">
      <c r="A80" s="83">
        <v>20210113</v>
      </c>
      <c r="B80" s="83">
        <v>70</v>
      </c>
      <c r="C80" s="83">
        <v>59</v>
      </c>
      <c r="D80" s="83">
        <v>57</v>
      </c>
      <c r="E80" s="83">
        <v>54</v>
      </c>
      <c r="F80" s="83">
        <v>56</v>
      </c>
      <c r="G80" s="83">
        <v>58</v>
      </c>
      <c r="H80" s="83">
        <v>57</v>
      </c>
      <c r="I80" s="83">
        <v>55</v>
      </c>
      <c r="J80" s="83">
        <v>52</v>
      </c>
      <c r="K80" s="83">
        <v>53</v>
      </c>
      <c r="L80" s="83">
        <v>53</v>
      </c>
      <c r="M80" s="83">
        <v>76</v>
      </c>
      <c r="N80" s="83">
        <v>84</v>
      </c>
      <c r="O80" s="83">
        <v>89</v>
      </c>
      <c r="P80" s="83">
        <v>98</v>
      </c>
      <c r="Q80" s="83">
        <v>110</v>
      </c>
      <c r="R80" s="83">
        <v>104</v>
      </c>
      <c r="S80" s="83">
        <v>114</v>
      </c>
      <c r="T80" s="83">
        <v>120</v>
      </c>
      <c r="U80" s="83">
        <v>112</v>
      </c>
      <c r="V80" s="83">
        <v>111</v>
      </c>
      <c r="W80" s="83">
        <v>117</v>
      </c>
      <c r="X80" s="83">
        <v>113</v>
      </c>
      <c r="Y80" s="83">
        <v>113</v>
      </c>
      <c r="Z80" s="83">
        <v>113</v>
      </c>
      <c r="AA80" s="83">
        <v>119</v>
      </c>
      <c r="AB80" s="83">
        <v>114</v>
      </c>
      <c r="AC80" s="83">
        <v>113</v>
      </c>
      <c r="AD80" s="83">
        <v>113</v>
      </c>
      <c r="AE80" s="83">
        <v>114</v>
      </c>
      <c r="AF80" s="83">
        <v>107</v>
      </c>
      <c r="AG80" s="83">
        <v>103</v>
      </c>
      <c r="AH80" s="83">
        <v>106</v>
      </c>
      <c r="AI80" s="83">
        <v>102</v>
      </c>
      <c r="AJ80" s="83">
        <v>100</v>
      </c>
      <c r="AK80" s="83">
        <v>100</v>
      </c>
      <c r="AL80" s="83">
        <v>102</v>
      </c>
      <c r="AM80" s="83">
        <v>107</v>
      </c>
      <c r="AN80" s="83">
        <v>108</v>
      </c>
      <c r="AO80" s="83">
        <v>100</v>
      </c>
      <c r="AP80" s="83">
        <v>92</v>
      </c>
      <c r="AQ80" s="83">
        <v>97</v>
      </c>
      <c r="AR80" s="83">
        <v>95</v>
      </c>
      <c r="AS80" s="83">
        <v>91</v>
      </c>
      <c r="AT80" s="83">
        <v>87</v>
      </c>
      <c r="AU80" s="83">
        <v>88</v>
      </c>
      <c r="AV80" s="83">
        <v>85</v>
      </c>
      <c r="AW80" s="83">
        <v>82</v>
      </c>
    </row>
    <row r="81" spans="1:49" x14ac:dyDescent="0.15">
      <c r="A81" s="83">
        <v>20210114</v>
      </c>
      <c r="B81" s="83">
        <v>73</v>
      </c>
      <c r="C81" s="83">
        <v>62</v>
      </c>
      <c r="D81" s="83">
        <v>60</v>
      </c>
      <c r="E81" s="83">
        <v>57</v>
      </c>
      <c r="F81" s="83">
        <v>56</v>
      </c>
      <c r="G81" s="83">
        <v>62</v>
      </c>
      <c r="H81" s="83">
        <v>58</v>
      </c>
      <c r="I81" s="83">
        <v>56</v>
      </c>
      <c r="J81" s="83">
        <v>57</v>
      </c>
      <c r="K81" s="83">
        <v>55</v>
      </c>
      <c r="L81" s="83">
        <v>55</v>
      </c>
      <c r="M81" s="83">
        <v>74</v>
      </c>
      <c r="N81" s="83">
        <v>96</v>
      </c>
      <c r="O81" s="83">
        <v>90</v>
      </c>
      <c r="P81" s="83">
        <v>104</v>
      </c>
      <c r="Q81" s="83">
        <v>111</v>
      </c>
      <c r="R81" s="83">
        <v>115</v>
      </c>
      <c r="S81" s="83">
        <v>119</v>
      </c>
      <c r="T81" s="83">
        <v>121</v>
      </c>
      <c r="U81" s="83">
        <v>117</v>
      </c>
      <c r="V81" s="83">
        <v>115</v>
      </c>
      <c r="W81" s="83">
        <v>117</v>
      </c>
      <c r="X81" s="83">
        <v>113</v>
      </c>
      <c r="Y81" s="83">
        <v>119</v>
      </c>
      <c r="Z81" s="83">
        <v>120</v>
      </c>
      <c r="AA81" s="83">
        <v>121</v>
      </c>
      <c r="AB81" s="83">
        <v>122</v>
      </c>
      <c r="AC81" s="83">
        <v>116</v>
      </c>
      <c r="AD81" s="83">
        <v>112</v>
      </c>
      <c r="AE81" s="83">
        <v>114</v>
      </c>
      <c r="AF81" s="83">
        <v>108</v>
      </c>
      <c r="AG81" s="83">
        <v>108</v>
      </c>
      <c r="AH81" s="83">
        <v>111</v>
      </c>
      <c r="AI81" s="83">
        <v>109</v>
      </c>
      <c r="AJ81" s="83">
        <v>105</v>
      </c>
      <c r="AK81" s="83">
        <v>105</v>
      </c>
      <c r="AL81" s="83">
        <v>104</v>
      </c>
      <c r="AM81" s="83">
        <v>110</v>
      </c>
      <c r="AN81" s="83">
        <v>108</v>
      </c>
      <c r="AO81" s="83">
        <v>107</v>
      </c>
      <c r="AP81" s="83">
        <v>97</v>
      </c>
      <c r="AQ81" s="83">
        <v>95</v>
      </c>
      <c r="AR81" s="83">
        <v>91</v>
      </c>
      <c r="AS81" s="83">
        <v>88</v>
      </c>
      <c r="AT81" s="83">
        <v>84</v>
      </c>
      <c r="AU81" s="83">
        <v>84</v>
      </c>
      <c r="AV81" s="83">
        <v>83</v>
      </c>
      <c r="AW81" s="83">
        <v>82</v>
      </c>
    </row>
    <row r="82" spans="1:49" x14ac:dyDescent="0.15">
      <c r="A82" s="83">
        <v>20210115</v>
      </c>
      <c r="B82" s="83">
        <v>53</v>
      </c>
      <c r="C82" s="83">
        <v>37</v>
      </c>
      <c r="D82" s="83">
        <v>35</v>
      </c>
      <c r="E82" s="83">
        <v>32</v>
      </c>
      <c r="F82" s="83">
        <v>32</v>
      </c>
      <c r="G82" s="83">
        <v>31</v>
      </c>
      <c r="H82" s="83">
        <v>32</v>
      </c>
      <c r="I82" s="83">
        <v>31</v>
      </c>
      <c r="J82" s="83">
        <v>29</v>
      </c>
      <c r="K82" s="83">
        <v>29</v>
      </c>
      <c r="L82" s="83">
        <v>32</v>
      </c>
      <c r="M82" s="83">
        <v>57</v>
      </c>
      <c r="N82" s="83">
        <v>87</v>
      </c>
      <c r="O82" s="83">
        <v>85</v>
      </c>
      <c r="P82" s="83">
        <v>100</v>
      </c>
      <c r="Q82" s="83">
        <v>106</v>
      </c>
      <c r="R82" s="83">
        <v>104</v>
      </c>
      <c r="S82" s="83">
        <v>112</v>
      </c>
      <c r="T82" s="83">
        <v>125</v>
      </c>
      <c r="U82" s="83">
        <v>116</v>
      </c>
      <c r="V82" s="83">
        <v>115</v>
      </c>
      <c r="W82" s="83">
        <v>117</v>
      </c>
      <c r="X82" s="83">
        <v>111</v>
      </c>
      <c r="Y82" s="83">
        <v>118</v>
      </c>
      <c r="Z82" s="83">
        <v>118</v>
      </c>
      <c r="AA82" s="83">
        <v>126</v>
      </c>
      <c r="AB82" s="83">
        <v>115</v>
      </c>
      <c r="AC82" s="83">
        <v>119</v>
      </c>
      <c r="AD82" s="83">
        <v>114</v>
      </c>
      <c r="AE82" s="83">
        <v>122</v>
      </c>
      <c r="AF82" s="83">
        <v>111</v>
      </c>
      <c r="AG82" s="83">
        <v>107</v>
      </c>
      <c r="AH82" s="83">
        <v>103</v>
      </c>
      <c r="AI82" s="83">
        <v>105</v>
      </c>
      <c r="AJ82" s="83">
        <v>106</v>
      </c>
      <c r="AK82" s="83">
        <v>110</v>
      </c>
      <c r="AL82" s="83">
        <v>102</v>
      </c>
      <c r="AM82" s="83">
        <v>105</v>
      </c>
      <c r="AN82" s="83">
        <v>103</v>
      </c>
      <c r="AO82" s="83">
        <v>98</v>
      </c>
      <c r="AP82" s="83">
        <v>95</v>
      </c>
      <c r="AQ82" s="83">
        <v>97</v>
      </c>
      <c r="AR82" s="83">
        <v>95</v>
      </c>
      <c r="AS82" s="83">
        <v>90</v>
      </c>
      <c r="AT82" s="83">
        <v>86</v>
      </c>
      <c r="AU82" s="83">
        <v>86</v>
      </c>
      <c r="AV82" s="83">
        <v>84</v>
      </c>
      <c r="AW82" s="83">
        <v>85</v>
      </c>
    </row>
    <row r="83" spans="1:49" x14ac:dyDescent="0.15">
      <c r="A83" s="83">
        <v>20210116</v>
      </c>
      <c r="B83" s="83">
        <v>61</v>
      </c>
      <c r="C83" s="83">
        <v>47</v>
      </c>
      <c r="D83" s="83">
        <v>47</v>
      </c>
      <c r="E83" s="83">
        <v>44</v>
      </c>
      <c r="F83" s="83">
        <v>43</v>
      </c>
      <c r="G83" s="83">
        <v>45</v>
      </c>
      <c r="H83" s="83">
        <v>46</v>
      </c>
      <c r="I83" s="83">
        <v>43</v>
      </c>
      <c r="J83" s="83">
        <v>42</v>
      </c>
      <c r="K83" s="83">
        <v>35</v>
      </c>
      <c r="L83" s="83">
        <v>31</v>
      </c>
      <c r="M83" s="83">
        <v>45</v>
      </c>
      <c r="N83" s="83">
        <v>97</v>
      </c>
      <c r="O83" s="83">
        <v>89</v>
      </c>
      <c r="P83" s="83">
        <v>105</v>
      </c>
      <c r="Q83" s="83">
        <v>108</v>
      </c>
      <c r="R83" s="83">
        <v>111</v>
      </c>
      <c r="S83" s="83">
        <v>112</v>
      </c>
      <c r="T83" s="83">
        <v>127</v>
      </c>
      <c r="U83" s="83">
        <v>119</v>
      </c>
      <c r="V83" s="83">
        <v>109</v>
      </c>
      <c r="W83" s="83">
        <v>111</v>
      </c>
      <c r="X83" s="83">
        <v>113</v>
      </c>
      <c r="Y83" s="83">
        <v>113</v>
      </c>
      <c r="Z83" s="83">
        <v>111</v>
      </c>
      <c r="AA83" s="83">
        <v>113</v>
      </c>
      <c r="AB83" s="83">
        <v>111</v>
      </c>
      <c r="AC83" s="83">
        <v>113</v>
      </c>
      <c r="AD83" s="83">
        <v>108</v>
      </c>
      <c r="AE83" s="83">
        <v>114</v>
      </c>
      <c r="AF83" s="83">
        <v>109</v>
      </c>
      <c r="AG83" s="83">
        <v>109</v>
      </c>
      <c r="AH83" s="83">
        <v>110</v>
      </c>
      <c r="AI83" s="83">
        <v>107</v>
      </c>
      <c r="AJ83" s="83">
        <v>101</v>
      </c>
      <c r="AK83" s="83">
        <v>102</v>
      </c>
      <c r="AL83" s="83">
        <v>99</v>
      </c>
      <c r="AM83" s="83">
        <v>105</v>
      </c>
      <c r="AN83" s="83">
        <v>104</v>
      </c>
      <c r="AO83" s="83">
        <v>106</v>
      </c>
      <c r="AP83" s="83">
        <v>100</v>
      </c>
      <c r="AQ83" s="83">
        <v>100</v>
      </c>
      <c r="AR83" s="83">
        <v>94</v>
      </c>
      <c r="AS83" s="83">
        <v>87</v>
      </c>
      <c r="AT83" s="83">
        <v>84</v>
      </c>
      <c r="AU83" s="83">
        <v>84</v>
      </c>
      <c r="AV83" s="83">
        <v>82</v>
      </c>
      <c r="AW83" s="83">
        <v>82</v>
      </c>
    </row>
    <row r="84" spans="1:49" x14ac:dyDescent="0.15">
      <c r="A84" s="83">
        <v>20210117</v>
      </c>
      <c r="B84" s="83">
        <v>51</v>
      </c>
      <c r="C84" s="83">
        <v>38</v>
      </c>
      <c r="D84" s="83">
        <v>35</v>
      </c>
      <c r="E84" s="83">
        <v>32</v>
      </c>
      <c r="F84" s="83">
        <v>32</v>
      </c>
      <c r="G84" s="83">
        <v>35</v>
      </c>
      <c r="H84" s="83">
        <v>34</v>
      </c>
      <c r="I84" s="83">
        <v>31</v>
      </c>
      <c r="J84" s="83">
        <v>31</v>
      </c>
      <c r="K84" s="83">
        <v>29</v>
      </c>
      <c r="L84" s="83">
        <v>33</v>
      </c>
      <c r="M84" s="83">
        <v>45</v>
      </c>
      <c r="N84" s="83">
        <v>94</v>
      </c>
      <c r="O84" s="83">
        <v>91</v>
      </c>
      <c r="P84" s="83">
        <v>104</v>
      </c>
      <c r="Q84" s="83">
        <v>106</v>
      </c>
      <c r="R84" s="83">
        <v>102</v>
      </c>
      <c r="S84" s="83">
        <v>112</v>
      </c>
      <c r="T84" s="83">
        <v>121</v>
      </c>
      <c r="U84" s="83">
        <v>117</v>
      </c>
      <c r="V84" s="83">
        <v>113</v>
      </c>
      <c r="W84" s="83">
        <v>114</v>
      </c>
      <c r="X84" s="83">
        <v>116</v>
      </c>
      <c r="Y84" s="83">
        <v>112</v>
      </c>
      <c r="Z84" s="83">
        <v>110</v>
      </c>
      <c r="AA84" s="83">
        <v>115</v>
      </c>
      <c r="AB84" s="83">
        <v>110</v>
      </c>
      <c r="AC84" s="83">
        <v>120</v>
      </c>
      <c r="AD84" s="83">
        <v>112</v>
      </c>
      <c r="AE84" s="83">
        <v>120</v>
      </c>
      <c r="AF84" s="83">
        <v>110</v>
      </c>
      <c r="AG84" s="83">
        <v>108</v>
      </c>
      <c r="AH84" s="83">
        <v>104</v>
      </c>
      <c r="AI84" s="83">
        <v>108</v>
      </c>
      <c r="AJ84" s="83">
        <v>102</v>
      </c>
      <c r="AK84" s="83">
        <v>102</v>
      </c>
      <c r="AL84" s="83">
        <v>100</v>
      </c>
      <c r="AM84" s="83">
        <v>109</v>
      </c>
      <c r="AN84" s="83">
        <v>104</v>
      </c>
      <c r="AO84" s="83">
        <v>98</v>
      </c>
      <c r="AP84" s="83">
        <v>99</v>
      </c>
      <c r="AQ84" s="83">
        <v>97</v>
      </c>
      <c r="AR84" s="83">
        <v>96</v>
      </c>
      <c r="AS84" s="83">
        <v>92</v>
      </c>
      <c r="AT84" s="83">
        <v>87</v>
      </c>
      <c r="AU84" s="83">
        <v>85</v>
      </c>
      <c r="AV84" s="83">
        <v>83</v>
      </c>
      <c r="AW84" s="83">
        <v>83</v>
      </c>
    </row>
    <row r="85" spans="1:49" x14ac:dyDescent="0.15">
      <c r="A85" s="83">
        <v>20210118</v>
      </c>
      <c r="B85" s="83">
        <v>50</v>
      </c>
      <c r="C85" s="83">
        <v>37</v>
      </c>
      <c r="D85" s="83">
        <v>36</v>
      </c>
      <c r="E85" s="83">
        <v>32</v>
      </c>
      <c r="F85" s="83">
        <v>34</v>
      </c>
      <c r="G85" s="83">
        <v>35</v>
      </c>
      <c r="H85" s="83">
        <v>35</v>
      </c>
      <c r="I85" s="83">
        <v>34</v>
      </c>
      <c r="J85" s="83">
        <v>30</v>
      </c>
      <c r="K85" s="83">
        <v>30</v>
      </c>
      <c r="L85" s="83">
        <v>34</v>
      </c>
      <c r="M85" s="83">
        <v>56</v>
      </c>
      <c r="N85" s="83">
        <v>84</v>
      </c>
      <c r="O85" s="83">
        <v>82</v>
      </c>
      <c r="P85" s="83">
        <v>96</v>
      </c>
      <c r="Q85" s="83">
        <v>101</v>
      </c>
      <c r="R85" s="83">
        <v>107</v>
      </c>
      <c r="S85" s="83">
        <v>109</v>
      </c>
      <c r="T85" s="83">
        <v>116</v>
      </c>
      <c r="U85" s="83">
        <v>113</v>
      </c>
      <c r="V85" s="83">
        <v>110</v>
      </c>
      <c r="W85" s="83">
        <v>111</v>
      </c>
      <c r="X85" s="83">
        <v>109</v>
      </c>
      <c r="Y85" s="83">
        <v>112</v>
      </c>
      <c r="Z85" s="83">
        <v>119</v>
      </c>
      <c r="AA85" s="83">
        <v>120</v>
      </c>
      <c r="AB85" s="83">
        <v>110</v>
      </c>
      <c r="AC85" s="83">
        <v>111</v>
      </c>
      <c r="AD85" s="83">
        <v>114</v>
      </c>
      <c r="AE85" s="83">
        <v>110</v>
      </c>
      <c r="AF85" s="83">
        <v>108</v>
      </c>
      <c r="AG85" s="83">
        <v>108</v>
      </c>
      <c r="AH85" s="83">
        <v>105</v>
      </c>
      <c r="AI85" s="83">
        <v>101</v>
      </c>
      <c r="AJ85" s="83">
        <v>102</v>
      </c>
      <c r="AK85" s="83">
        <v>101</v>
      </c>
      <c r="AL85" s="83">
        <v>103</v>
      </c>
      <c r="AM85" s="83">
        <v>108</v>
      </c>
      <c r="AN85" s="83">
        <v>97</v>
      </c>
      <c r="AO85" s="83">
        <v>95</v>
      </c>
      <c r="AP85" s="83">
        <v>88</v>
      </c>
      <c r="AQ85" s="83">
        <v>92</v>
      </c>
      <c r="AR85" s="83">
        <v>91</v>
      </c>
      <c r="AS85" s="83">
        <v>85</v>
      </c>
      <c r="AT85" s="83">
        <v>82</v>
      </c>
      <c r="AU85" s="83">
        <v>78</v>
      </c>
      <c r="AV85" s="83">
        <v>77</v>
      </c>
      <c r="AW85" s="83">
        <v>78</v>
      </c>
    </row>
    <row r="86" spans="1:49" x14ac:dyDescent="0.15">
      <c r="A86" s="83">
        <v>20210119</v>
      </c>
      <c r="B86" s="83">
        <v>56</v>
      </c>
      <c r="C86" s="83">
        <v>38</v>
      </c>
      <c r="D86" s="83">
        <v>35</v>
      </c>
      <c r="E86" s="83">
        <v>31</v>
      </c>
      <c r="F86" s="83">
        <v>32</v>
      </c>
      <c r="G86" s="83">
        <v>34</v>
      </c>
      <c r="H86" s="83">
        <v>33</v>
      </c>
      <c r="I86" s="83">
        <v>32</v>
      </c>
      <c r="J86" s="83">
        <v>28</v>
      </c>
      <c r="K86" s="83">
        <v>30</v>
      </c>
      <c r="L86" s="83">
        <v>30</v>
      </c>
      <c r="M86" s="83">
        <v>51</v>
      </c>
      <c r="N86" s="83">
        <v>81</v>
      </c>
      <c r="O86" s="83">
        <v>73</v>
      </c>
      <c r="P86" s="83">
        <v>85</v>
      </c>
      <c r="Q86" s="83">
        <v>94</v>
      </c>
      <c r="R86" s="83">
        <v>94</v>
      </c>
      <c r="S86" s="83">
        <v>105</v>
      </c>
      <c r="T86" s="83">
        <v>115</v>
      </c>
      <c r="U86" s="83">
        <v>116</v>
      </c>
      <c r="V86" s="83">
        <v>112</v>
      </c>
      <c r="W86" s="83">
        <v>110</v>
      </c>
      <c r="X86" s="83">
        <v>114</v>
      </c>
      <c r="Y86" s="83">
        <v>105</v>
      </c>
      <c r="Z86" s="83">
        <v>108</v>
      </c>
      <c r="AA86" s="83">
        <v>109</v>
      </c>
      <c r="AB86" s="83">
        <v>106</v>
      </c>
      <c r="AC86" s="83">
        <v>115</v>
      </c>
      <c r="AD86" s="83">
        <v>103</v>
      </c>
      <c r="AE86" s="83">
        <v>112</v>
      </c>
      <c r="AF86" s="83">
        <v>107</v>
      </c>
      <c r="AG86" s="83">
        <v>106</v>
      </c>
      <c r="AH86" s="83">
        <v>100</v>
      </c>
      <c r="AI86" s="83">
        <v>99</v>
      </c>
      <c r="AJ86" s="83">
        <v>102</v>
      </c>
      <c r="AK86" s="83">
        <v>104</v>
      </c>
      <c r="AL86" s="83">
        <v>105</v>
      </c>
      <c r="AM86" s="83">
        <v>102</v>
      </c>
      <c r="AN86" s="83">
        <v>96</v>
      </c>
      <c r="AO86" s="83">
        <v>96</v>
      </c>
      <c r="AP86" s="83">
        <v>90</v>
      </c>
      <c r="AQ86" s="83">
        <v>91</v>
      </c>
      <c r="AR86" s="83">
        <v>90</v>
      </c>
      <c r="AS86" s="83">
        <v>87</v>
      </c>
      <c r="AT86" s="83">
        <v>84</v>
      </c>
      <c r="AU86" s="83">
        <v>81</v>
      </c>
      <c r="AV86" s="83">
        <v>81</v>
      </c>
      <c r="AW86" s="83">
        <v>79</v>
      </c>
    </row>
    <row r="87" spans="1:49" x14ac:dyDescent="0.15">
      <c r="A87" s="83">
        <v>20210120</v>
      </c>
      <c r="B87" s="83">
        <v>56</v>
      </c>
      <c r="C87" s="83">
        <v>37</v>
      </c>
      <c r="D87" s="83">
        <v>36</v>
      </c>
      <c r="E87" s="83">
        <v>31</v>
      </c>
      <c r="F87" s="83">
        <v>34</v>
      </c>
      <c r="G87" s="83">
        <v>34</v>
      </c>
      <c r="H87" s="83">
        <v>35</v>
      </c>
      <c r="I87" s="83">
        <v>34</v>
      </c>
      <c r="J87" s="83">
        <v>31</v>
      </c>
      <c r="K87" s="83">
        <v>31</v>
      </c>
      <c r="L87" s="83">
        <v>31</v>
      </c>
      <c r="M87" s="83">
        <v>65</v>
      </c>
      <c r="N87" s="83">
        <v>69</v>
      </c>
      <c r="O87" s="83">
        <v>79</v>
      </c>
      <c r="P87" s="83">
        <v>96</v>
      </c>
      <c r="Q87" s="83">
        <v>106</v>
      </c>
      <c r="R87" s="83">
        <v>102</v>
      </c>
      <c r="S87" s="83">
        <v>112</v>
      </c>
      <c r="T87" s="83">
        <v>116</v>
      </c>
      <c r="U87" s="83">
        <v>112</v>
      </c>
      <c r="V87" s="83">
        <v>109</v>
      </c>
      <c r="W87" s="83">
        <v>110</v>
      </c>
      <c r="X87" s="83">
        <v>107</v>
      </c>
      <c r="Y87" s="83">
        <v>112</v>
      </c>
      <c r="Z87" s="83">
        <v>121</v>
      </c>
      <c r="AA87" s="83">
        <v>115</v>
      </c>
      <c r="AB87" s="83">
        <v>115</v>
      </c>
      <c r="AC87" s="83">
        <v>113</v>
      </c>
      <c r="AD87" s="83">
        <v>112</v>
      </c>
      <c r="AE87" s="83">
        <v>117</v>
      </c>
      <c r="AF87" s="83">
        <v>114</v>
      </c>
      <c r="AG87" s="83">
        <v>106</v>
      </c>
      <c r="AH87" s="83">
        <v>103</v>
      </c>
      <c r="AI87" s="83">
        <v>97</v>
      </c>
      <c r="AJ87" s="83">
        <v>96</v>
      </c>
      <c r="AK87" s="83">
        <v>99</v>
      </c>
      <c r="AL87" s="83">
        <v>101</v>
      </c>
      <c r="AM87" s="83">
        <v>101</v>
      </c>
      <c r="AN87" s="83">
        <v>100</v>
      </c>
      <c r="AO87" s="83">
        <v>95</v>
      </c>
      <c r="AP87" s="83">
        <v>93</v>
      </c>
      <c r="AQ87" s="83">
        <v>94</v>
      </c>
      <c r="AR87" s="83">
        <v>92</v>
      </c>
      <c r="AS87" s="83">
        <v>88</v>
      </c>
      <c r="AT87" s="83">
        <v>82</v>
      </c>
      <c r="AU87" s="83">
        <v>82</v>
      </c>
      <c r="AV87" s="83">
        <v>80</v>
      </c>
      <c r="AW87" s="83">
        <v>76</v>
      </c>
    </row>
    <row r="88" spans="1:49" x14ac:dyDescent="0.15">
      <c r="A88" s="83">
        <v>20210121</v>
      </c>
      <c r="B88" s="83">
        <v>50</v>
      </c>
      <c r="C88" s="83">
        <v>38</v>
      </c>
      <c r="D88" s="83">
        <v>35</v>
      </c>
      <c r="E88" s="83">
        <v>31</v>
      </c>
      <c r="F88" s="83">
        <v>33</v>
      </c>
      <c r="G88" s="83">
        <v>33</v>
      </c>
      <c r="H88" s="83">
        <v>34</v>
      </c>
      <c r="I88" s="83">
        <v>32</v>
      </c>
      <c r="J88" s="83">
        <v>30</v>
      </c>
      <c r="K88" s="83">
        <v>29</v>
      </c>
      <c r="L88" s="83">
        <v>29</v>
      </c>
      <c r="M88" s="83">
        <v>39</v>
      </c>
      <c r="N88" s="83">
        <v>85</v>
      </c>
      <c r="O88" s="83">
        <v>81</v>
      </c>
      <c r="P88" s="83">
        <v>100</v>
      </c>
      <c r="Q88" s="83">
        <v>104</v>
      </c>
      <c r="R88" s="83">
        <v>109</v>
      </c>
      <c r="S88" s="83">
        <v>113</v>
      </c>
      <c r="T88" s="83">
        <v>121</v>
      </c>
      <c r="U88" s="83">
        <v>115</v>
      </c>
      <c r="V88" s="83">
        <v>115</v>
      </c>
      <c r="W88" s="83">
        <v>115</v>
      </c>
      <c r="X88" s="83">
        <v>117</v>
      </c>
      <c r="Y88" s="83">
        <v>112</v>
      </c>
      <c r="Z88" s="83">
        <v>124</v>
      </c>
      <c r="AA88" s="83">
        <v>121</v>
      </c>
      <c r="AB88" s="83">
        <v>123</v>
      </c>
      <c r="AC88" s="83">
        <v>119</v>
      </c>
      <c r="AD88" s="83">
        <v>116</v>
      </c>
      <c r="AE88" s="83">
        <v>120</v>
      </c>
      <c r="AF88" s="83">
        <v>111</v>
      </c>
      <c r="AG88" s="83">
        <v>111</v>
      </c>
      <c r="AH88" s="83">
        <v>105</v>
      </c>
      <c r="AI88" s="83">
        <v>103</v>
      </c>
      <c r="AJ88" s="83">
        <v>103</v>
      </c>
      <c r="AK88" s="83">
        <v>107</v>
      </c>
      <c r="AL88" s="83">
        <v>103</v>
      </c>
      <c r="AM88" s="83">
        <v>106</v>
      </c>
      <c r="AN88" s="83">
        <v>102</v>
      </c>
      <c r="AO88" s="83">
        <v>103</v>
      </c>
      <c r="AP88" s="83">
        <v>105</v>
      </c>
      <c r="AQ88" s="83">
        <v>101</v>
      </c>
      <c r="AR88" s="83">
        <v>99</v>
      </c>
      <c r="AS88" s="83">
        <v>94</v>
      </c>
      <c r="AT88" s="83">
        <v>86</v>
      </c>
      <c r="AU88" s="83">
        <v>84</v>
      </c>
      <c r="AV88" s="83">
        <v>84</v>
      </c>
      <c r="AW88" s="83">
        <v>85</v>
      </c>
    </row>
    <row r="89" spans="1:49" x14ac:dyDescent="0.15">
      <c r="A89" s="83">
        <v>20210122</v>
      </c>
      <c r="B89" s="83">
        <v>56</v>
      </c>
      <c r="C89" s="83">
        <v>42</v>
      </c>
      <c r="D89" s="83">
        <v>38</v>
      </c>
      <c r="E89" s="83">
        <v>35</v>
      </c>
      <c r="F89" s="83">
        <v>36</v>
      </c>
      <c r="G89" s="83">
        <v>39</v>
      </c>
      <c r="H89" s="83">
        <v>38</v>
      </c>
      <c r="I89" s="83">
        <v>36</v>
      </c>
      <c r="J89" s="83">
        <v>35</v>
      </c>
      <c r="K89" s="83">
        <v>34</v>
      </c>
      <c r="L89" s="83">
        <v>36</v>
      </c>
      <c r="M89" s="83">
        <v>51</v>
      </c>
      <c r="N89" s="83">
        <v>91</v>
      </c>
      <c r="O89" s="83">
        <v>78</v>
      </c>
      <c r="P89" s="83">
        <v>90</v>
      </c>
      <c r="Q89" s="83">
        <v>103</v>
      </c>
      <c r="R89" s="83">
        <v>96</v>
      </c>
      <c r="S89" s="83">
        <v>113</v>
      </c>
      <c r="T89" s="83">
        <v>117</v>
      </c>
      <c r="U89" s="83">
        <v>118</v>
      </c>
      <c r="V89" s="83">
        <v>111</v>
      </c>
      <c r="W89" s="83">
        <v>118</v>
      </c>
      <c r="X89" s="83">
        <v>115</v>
      </c>
      <c r="Y89" s="83">
        <v>114</v>
      </c>
      <c r="Z89" s="83">
        <v>117</v>
      </c>
      <c r="AA89" s="83">
        <v>120</v>
      </c>
      <c r="AB89" s="83">
        <v>114</v>
      </c>
      <c r="AC89" s="83">
        <v>112</v>
      </c>
      <c r="AD89" s="83">
        <v>109</v>
      </c>
      <c r="AE89" s="83">
        <v>117</v>
      </c>
      <c r="AF89" s="83">
        <v>108</v>
      </c>
      <c r="AG89" s="83">
        <v>106</v>
      </c>
      <c r="AH89" s="83">
        <v>107</v>
      </c>
      <c r="AI89" s="83">
        <v>104</v>
      </c>
      <c r="AJ89" s="83">
        <v>101</v>
      </c>
      <c r="AK89" s="83">
        <v>104</v>
      </c>
      <c r="AL89" s="83">
        <v>106</v>
      </c>
      <c r="AM89" s="83">
        <v>109</v>
      </c>
      <c r="AN89" s="83">
        <v>106</v>
      </c>
      <c r="AO89" s="83">
        <v>98</v>
      </c>
      <c r="AP89" s="83">
        <v>94</v>
      </c>
      <c r="AQ89" s="83">
        <v>96</v>
      </c>
      <c r="AR89" s="83">
        <v>93</v>
      </c>
      <c r="AS89" s="83">
        <v>89</v>
      </c>
      <c r="AT89" s="83">
        <v>85</v>
      </c>
      <c r="AU89" s="83">
        <v>83</v>
      </c>
      <c r="AV89" s="83">
        <v>82</v>
      </c>
      <c r="AW89" s="83">
        <v>80</v>
      </c>
    </row>
    <row r="90" spans="1:49" x14ac:dyDescent="0.15">
      <c r="A90" s="83">
        <v>20210123</v>
      </c>
      <c r="B90" s="83">
        <v>56</v>
      </c>
      <c r="C90" s="83">
        <v>40</v>
      </c>
      <c r="D90" s="83">
        <v>36</v>
      </c>
      <c r="E90" s="83">
        <v>34</v>
      </c>
      <c r="F90" s="83">
        <v>34</v>
      </c>
      <c r="G90" s="83">
        <v>36</v>
      </c>
      <c r="H90" s="83">
        <v>35</v>
      </c>
      <c r="I90" s="83">
        <v>33</v>
      </c>
      <c r="J90" s="83">
        <v>31</v>
      </c>
      <c r="K90" s="83">
        <v>32</v>
      </c>
      <c r="L90" s="83">
        <v>33</v>
      </c>
      <c r="M90" s="83">
        <v>50</v>
      </c>
      <c r="N90" s="83">
        <v>91</v>
      </c>
      <c r="O90" s="83">
        <v>87</v>
      </c>
      <c r="P90" s="83">
        <v>100</v>
      </c>
      <c r="Q90" s="83">
        <v>106</v>
      </c>
      <c r="R90" s="83">
        <v>105</v>
      </c>
      <c r="S90" s="83">
        <v>114</v>
      </c>
      <c r="T90" s="83">
        <v>119</v>
      </c>
      <c r="U90" s="83">
        <v>120</v>
      </c>
      <c r="V90" s="83">
        <v>118</v>
      </c>
      <c r="W90" s="83">
        <v>113</v>
      </c>
      <c r="X90" s="83">
        <v>113</v>
      </c>
      <c r="Y90" s="83">
        <v>117</v>
      </c>
      <c r="Z90" s="83">
        <v>121</v>
      </c>
      <c r="AA90" s="83">
        <v>117</v>
      </c>
      <c r="AB90" s="83">
        <v>115</v>
      </c>
      <c r="AC90" s="83">
        <v>117</v>
      </c>
      <c r="AD90" s="83">
        <v>117</v>
      </c>
      <c r="AE90" s="83">
        <v>118</v>
      </c>
      <c r="AF90" s="83">
        <v>113</v>
      </c>
      <c r="AG90" s="83">
        <v>113</v>
      </c>
      <c r="AH90" s="83">
        <v>108</v>
      </c>
      <c r="AI90" s="83">
        <v>107</v>
      </c>
      <c r="AJ90" s="83">
        <v>107</v>
      </c>
      <c r="AK90" s="83">
        <v>108</v>
      </c>
      <c r="AL90" s="83">
        <v>103</v>
      </c>
      <c r="AM90" s="83">
        <v>112</v>
      </c>
      <c r="AN90" s="83">
        <v>106</v>
      </c>
      <c r="AO90" s="83">
        <v>105</v>
      </c>
      <c r="AP90" s="83">
        <v>100</v>
      </c>
      <c r="AQ90" s="83">
        <v>100</v>
      </c>
      <c r="AR90" s="83">
        <v>93</v>
      </c>
      <c r="AS90" s="83">
        <v>88</v>
      </c>
      <c r="AT90" s="83">
        <v>84</v>
      </c>
      <c r="AU90" s="83">
        <v>85</v>
      </c>
      <c r="AV90" s="83">
        <v>82</v>
      </c>
      <c r="AW90" s="83">
        <v>78</v>
      </c>
    </row>
    <row r="91" spans="1:49" x14ac:dyDescent="0.15">
      <c r="A91" s="83">
        <v>20210124</v>
      </c>
      <c r="B91" s="83">
        <v>50</v>
      </c>
      <c r="C91" s="83">
        <v>38</v>
      </c>
      <c r="D91" s="83">
        <v>36</v>
      </c>
      <c r="E91" s="83">
        <v>32</v>
      </c>
      <c r="F91" s="83">
        <v>33</v>
      </c>
      <c r="G91" s="83">
        <v>35</v>
      </c>
      <c r="H91" s="83">
        <v>33</v>
      </c>
      <c r="I91" s="83">
        <v>32</v>
      </c>
      <c r="J91" s="83">
        <v>30</v>
      </c>
      <c r="K91" s="83">
        <v>31</v>
      </c>
      <c r="L91" s="83">
        <v>33</v>
      </c>
      <c r="M91" s="83">
        <v>45</v>
      </c>
      <c r="N91" s="83">
        <v>93</v>
      </c>
      <c r="O91" s="83">
        <v>88</v>
      </c>
      <c r="P91" s="83">
        <v>102</v>
      </c>
      <c r="Q91" s="83">
        <v>104</v>
      </c>
      <c r="R91" s="83">
        <v>109</v>
      </c>
      <c r="S91" s="83">
        <v>112</v>
      </c>
      <c r="T91" s="83">
        <v>126</v>
      </c>
      <c r="U91" s="83">
        <v>120</v>
      </c>
      <c r="V91" s="83">
        <v>112</v>
      </c>
      <c r="W91" s="83">
        <v>116</v>
      </c>
      <c r="X91" s="83">
        <v>108</v>
      </c>
      <c r="Y91" s="83">
        <v>117</v>
      </c>
      <c r="Z91" s="83">
        <v>118</v>
      </c>
      <c r="AA91" s="83">
        <v>121</v>
      </c>
      <c r="AB91" s="83">
        <v>116</v>
      </c>
      <c r="AC91" s="83">
        <v>121</v>
      </c>
      <c r="AD91" s="83">
        <v>110</v>
      </c>
      <c r="AE91" s="83">
        <v>118</v>
      </c>
      <c r="AF91" s="83">
        <v>112</v>
      </c>
      <c r="AG91" s="83">
        <v>109</v>
      </c>
      <c r="AH91" s="83">
        <v>107</v>
      </c>
      <c r="AI91" s="83">
        <v>107</v>
      </c>
      <c r="AJ91" s="83">
        <v>103</v>
      </c>
      <c r="AK91" s="83">
        <v>106</v>
      </c>
      <c r="AL91" s="83">
        <v>104</v>
      </c>
      <c r="AM91" s="83">
        <v>105</v>
      </c>
      <c r="AN91" s="83">
        <v>96</v>
      </c>
      <c r="AO91" s="83">
        <v>98</v>
      </c>
      <c r="AP91" s="83">
        <v>101</v>
      </c>
      <c r="AQ91" s="83">
        <v>102</v>
      </c>
      <c r="AR91" s="83">
        <v>92</v>
      </c>
      <c r="AS91" s="83">
        <v>90</v>
      </c>
      <c r="AT91" s="83">
        <v>84</v>
      </c>
      <c r="AU91" s="83">
        <v>84</v>
      </c>
      <c r="AV91" s="83">
        <v>82</v>
      </c>
      <c r="AW91" s="83">
        <v>81</v>
      </c>
    </row>
    <row r="92" spans="1:49" x14ac:dyDescent="0.15">
      <c r="A92" s="83">
        <v>20210125</v>
      </c>
      <c r="B92" s="83">
        <v>51</v>
      </c>
      <c r="C92" s="83">
        <v>38</v>
      </c>
      <c r="D92" s="83">
        <v>35</v>
      </c>
      <c r="E92" s="83">
        <v>32</v>
      </c>
      <c r="F92" s="83">
        <v>33</v>
      </c>
      <c r="G92" s="83">
        <v>34</v>
      </c>
      <c r="H92" s="83">
        <v>34</v>
      </c>
      <c r="I92" s="83">
        <v>31</v>
      </c>
      <c r="J92" s="83">
        <v>30</v>
      </c>
      <c r="K92" s="83">
        <v>31</v>
      </c>
      <c r="L92" s="83">
        <v>31</v>
      </c>
      <c r="M92" s="83">
        <v>45</v>
      </c>
      <c r="N92" s="83">
        <v>89</v>
      </c>
      <c r="O92" s="83">
        <v>82</v>
      </c>
      <c r="P92" s="83">
        <v>90</v>
      </c>
      <c r="Q92" s="83">
        <v>100</v>
      </c>
      <c r="R92" s="83">
        <v>102</v>
      </c>
      <c r="S92" s="83">
        <v>109</v>
      </c>
      <c r="T92" s="83">
        <v>119</v>
      </c>
      <c r="U92" s="83">
        <v>114</v>
      </c>
      <c r="V92" s="83">
        <v>108</v>
      </c>
      <c r="W92" s="83">
        <v>110</v>
      </c>
      <c r="X92" s="83">
        <v>113</v>
      </c>
      <c r="Y92" s="83">
        <v>111</v>
      </c>
      <c r="Z92" s="83">
        <v>115</v>
      </c>
      <c r="AA92" s="83">
        <v>113</v>
      </c>
      <c r="AB92" s="83">
        <v>114</v>
      </c>
      <c r="AC92" s="83">
        <v>110</v>
      </c>
      <c r="AD92" s="83">
        <v>109</v>
      </c>
      <c r="AE92" s="83">
        <v>111</v>
      </c>
      <c r="AF92" s="83">
        <v>108</v>
      </c>
      <c r="AG92" s="83">
        <v>107</v>
      </c>
      <c r="AH92" s="83">
        <v>105</v>
      </c>
      <c r="AI92" s="83">
        <v>100</v>
      </c>
      <c r="AJ92" s="83">
        <v>99</v>
      </c>
      <c r="AK92" s="83">
        <v>98</v>
      </c>
      <c r="AL92" s="83">
        <v>103</v>
      </c>
      <c r="AM92" s="83">
        <v>105</v>
      </c>
      <c r="AN92" s="83">
        <v>98</v>
      </c>
      <c r="AO92" s="83">
        <v>95</v>
      </c>
      <c r="AP92" s="83">
        <v>91</v>
      </c>
      <c r="AQ92" s="83">
        <v>93</v>
      </c>
      <c r="AR92" s="83">
        <v>91</v>
      </c>
      <c r="AS92" s="83">
        <v>87</v>
      </c>
      <c r="AT92" s="83">
        <v>82</v>
      </c>
      <c r="AU92" s="83">
        <v>82</v>
      </c>
      <c r="AV92" s="83">
        <v>81</v>
      </c>
      <c r="AW92" s="83">
        <v>80</v>
      </c>
    </row>
    <row r="93" spans="1:49" x14ac:dyDescent="0.15">
      <c r="A93" s="83">
        <v>20210126</v>
      </c>
      <c r="B93" s="83">
        <v>53</v>
      </c>
      <c r="C93" s="83">
        <v>38</v>
      </c>
      <c r="D93" s="83">
        <v>36</v>
      </c>
      <c r="E93" s="83">
        <v>33</v>
      </c>
      <c r="F93" s="83">
        <v>33</v>
      </c>
      <c r="G93" s="83">
        <v>36</v>
      </c>
      <c r="H93" s="83">
        <v>35</v>
      </c>
      <c r="I93" s="83">
        <v>32</v>
      </c>
      <c r="J93" s="83">
        <v>31</v>
      </c>
      <c r="K93" s="83">
        <v>31</v>
      </c>
      <c r="L93" s="83">
        <v>32</v>
      </c>
      <c r="M93" s="83">
        <v>45</v>
      </c>
      <c r="N93" s="83">
        <v>94</v>
      </c>
      <c r="O93" s="83">
        <v>85</v>
      </c>
      <c r="P93" s="83">
        <v>94</v>
      </c>
      <c r="Q93" s="83">
        <v>104</v>
      </c>
      <c r="R93" s="83">
        <v>103</v>
      </c>
      <c r="S93" s="83">
        <v>117</v>
      </c>
      <c r="T93" s="83">
        <v>117</v>
      </c>
      <c r="U93" s="83">
        <v>120</v>
      </c>
      <c r="V93" s="83">
        <v>110</v>
      </c>
      <c r="W93" s="83">
        <v>113</v>
      </c>
      <c r="X93" s="83">
        <v>110</v>
      </c>
      <c r="Y93" s="83">
        <v>112</v>
      </c>
      <c r="Z93" s="83">
        <v>115</v>
      </c>
      <c r="AA93" s="83">
        <v>113</v>
      </c>
      <c r="AB93" s="83">
        <v>113</v>
      </c>
      <c r="AC93" s="83">
        <v>110</v>
      </c>
      <c r="AD93" s="83">
        <v>109</v>
      </c>
      <c r="AE93" s="83">
        <v>111</v>
      </c>
      <c r="AF93" s="83">
        <v>111</v>
      </c>
      <c r="AG93" s="83">
        <v>105</v>
      </c>
      <c r="AH93" s="83">
        <v>101</v>
      </c>
      <c r="AI93" s="83">
        <v>102</v>
      </c>
      <c r="AJ93" s="83">
        <v>100</v>
      </c>
      <c r="AK93" s="83">
        <v>103</v>
      </c>
      <c r="AL93" s="83">
        <v>105</v>
      </c>
      <c r="AM93" s="83">
        <v>102</v>
      </c>
      <c r="AN93" s="83">
        <v>100</v>
      </c>
      <c r="AO93" s="83">
        <v>101</v>
      </c>
      <c r="AP93" s="83">
        <v>96</v>
      </c>
      <c r="AQ93" s="83">
        <v>97</v>
      </c>
      <c r="AR93" s="83">
        <v>93</v>
      </c>
      <c r="AS93" s="83">
        <v>91</v>
      </c>
      <c r="AT93" s="83">
        <v>86</v>
      </c>
      <c r="AU93" s="83">
        <v>85</v>
      </c>
      <c r="AV93" s="83">
        <v>83</v>
      </c>
      <c r="AW93" s="83">
        <v>81</v>
      </c>
    </row>
    <row r="94" spans="1:49" x14ac:dyDescent="0.15">
      <c r="A94" s="83">
        <v>20210127</v>
      </c>
      <c r="B94" s="83">
        <v>55</v>
      </c>
      <c r="C94" s="83">
        <v>39</v>
      </c>
      <c r="D94" s="83">
        <v>37</v>
      </c>
      <c r="E94" s="83">
        <v>33</v>
      </c>
      <c r="F94" s="83">
        <v>34</v>
      </c>
      <c r="G94" s="83">
        <v>36</v>
      </c>
      <c r="H94" s="83">
        <v>35</v>
      </c>
      <c r="I94" s="83">
        <v>32</v>
      </c>
      <c r="J94" s="83">
        <v>31</v>
      </c>
      <c r="K94" s="83">
        <v>32</v>
      </c>
      <c r="L94" s="83">
        <v>32</v>
      </c>
      <c r="M94" s="83">
        <v>55</v>
      </c>
      <c r="N94" s="83">
        <v>79</v>
      </c>
      <c r="O94" s="83">
        <v>88</v>
      </c>
      <c r="P94" s="83">
        <v>98</v>
      </c>
      <c r="Q94" s="83">
        <v>105</v>
      </c>
      <c r="R94" s="83">
        <v>108</v>
      </c>
      <c r="S94" s="83">
        <v>119</v>
      </c>
      <c r="T94" s="83">
        <v>117</v>
      </c>
      <c r="U94" s="83">
        <v>120</v>
      </c>
      <c r="V94" s="83">
        <v>116</v>
      </c>
      <c r="W94" s="83">
        <v>112</v>
      </c>
      <c r="X94" s="83">
        <v>113</v>
      </c>
      <c r="Y94" s="83">
        <v>117</v>
      </c>
      <c r="Z94" s="83">
        <v>116</v>
      </c>
      <c r="AA94" s="83">
        <v>122</v>
      </c>
      <c r="AB94" s="83">
        <v>111</v>
      </c>
      <c r="AC94" s="83">
        <v>117</v>
      </c>
      <c r="AD94" s="83">
        <v>110</v>
      </c>
      <c r="AE94" s="83">
        <v>117</v>
      </c>
      <c r="AF94" s="83">
        <v>108</v>
      </c>
      <c r="AG94" s="83">
        <v>108</v>
      </c>
      <c r="AH94" s="83">
        <v>106</v>
      </c>
      <c r="AI94" s="83">
        <v>101</v>
      </c>
      <c r="AJ94" s="83">
        <v>105</v>
      </c>
      <c r="AK94" s="83">
        <v>106</v>
      </c>
      <c r="AL94" s="83">
        <v>103</v>
      </c>
      <c r="AM94" s="83">
        <v>109</v>
      </c>
      <c r="AN94" s="83">
        <v>103</v>
      </c>
      <c r="AO94" s="83">
        <v>103</v>
      </c>
      <c r="AP94" s="83">
        <v>97</v>
      </c>
      <c r="AQ94" s="83">
        <v>99</v>
      </c>
      <c r="AR94" s="83">
        <v>95</v>
      </c>
      <c r="AS94" s="83">
        <v>91</v>
      </c>
      <c r="AT94" s="83">
        <v>88</v>
      </c>
      <c r="AU94" s="83">
        <v>85</v>
      </c>
      <c r="AV94" s="83">
        <v>87</v>
      </c>
      <c r="AW94" s="83">
        <v>82</v>
      </c>
    </row>
    <row r="95" spans="1:49" x14ac:dyDescent="0.15">
      <c r="A95" s="83">
        <v>20210128</v>
      </c>
      <c r="B95" s="83">
        <v>50</v>
      </c>
      <c r="C95" s="83">
        <v>38</v>
      </c>
      <c r="D95" s="83">
        <v>36</v>
      </c>
      <c r="E95" s="83">
        <v>32</v>
      </c>
      <c r="F95" s="83">
        <v>33</v>
      </c>
      <c r="G95" s="83">
        <v>36</v>
      </c>
      <c r="H95" s="83">
        <v>34</v>
      </c>
      <c r="I95" s="83">
        <v>33</v>
      </c>
      <c r="J95" s="83">
        <v>30</v>
      </c>
      <c r="K95" s="83">
        <v>31</v>
      </c>
      <c r="L95" s="83">
        <v>31</v>
      </c>
      <c r="M95" s="83">
        <v>55</v>
      </c>
      <c r="N95" s="83">
        <v>91</v>
      </c>
      <c r="O95" s="83">
        <v>89</v>
      </c>
      <c r="P95" s="83">
        <v>99</v>
      </c>
      <c r="Q95" s="83">
        <v>107</v>
      </c>
      <c r="R95" s="83">
        <v>106</v>
      </c>
      <c r="S95" s="83">
        <v>121</v>
      </c>
      <c r="T95" s="83">
        <v>124</v>
      </c>
      <c r="U95" s="83">
        <v>115</v>
      </c>
      <c r="V95" s="83">
        <v>119</v>
      </c>
      <c r="W95" s="83">
        <v>121</v>
      </c>
      <c r="X95" s="83">
        <v>123</v>
      </c>
      <c r="Y95" s="83">
        <v>119</v>
      </c>
      <c r="Z95" s="83">
        <v>119</v>
      </c>
      <c r="AA95" s="83">
        <v>122</v>
      </c>
      <c r="AB95" s="83">
        <v>116</v>
      </c>
      <c r="AC95" s="83">
        <v>116</v>
      </c>
      <c r="AD95" s="83">
        <v>112</v>
      </c>
      <c r="AE95" s="83">
        <v>121</v>
      </c>
      <c r="AF95" s="83">
        <v>115</v>
      </c>
      <c r="AG95" s="83">
        <v>111</v>
      </c>
      <c r="AH95" s="83">
        <v>108</v>
      </c>
      <c r="AI95" s="83">
        <v>105</v>
      </c>
      <c r="AJ95" s="83">
        <v>107</v>
      </c>
      <c r="AK95" s="83">
        <v>101</v>
      </c>
      <c r="AL95" s="83">
        <v>107</v>
      </c>
      <c r="AM95" s="83">
        <v>109</v>
      </c>
      <c r="AN95" s="83">
        <v>105</v>
      </c>
      <c r="AO95" s="83">
        <v>107</v>
      </c>
      <c r="AP95" s="83">
        <v>103</v>
      </c>
      <c r="AQ95" s="83">
        <v>100</v>
      </c>
      <c r="AR95" s="83">
        <v>96</v>
      </c>
      <c r="AS95" s="83">
        <v>92</v>
      </c>
      <c r="AT95" s="83">
        <v>88</v>
      </c>
      <c r="AU95" s="83">
        <v>82</v>
      </c>
      <c r="AV95" s="83">
        <v>82</v>
      </c>
      <c r="AW95" s="83">
        <v>80</v>
      </c>
    </row>
    <row r="96" spans="1:49" x14ac:dyDescent="0.15">
      <c r="A96" s="83">
        <v>20210129</v>
      </c>
      <c r="B96" s="83">
        <v>54</v>
      </c>
      <c r="C96" s="83">
        <v>38</v>
      </c>
      <c r="D96" s="83">
        <v>37</v>
      </c>
      <c r="E96" s="83">
        <v>32</v>
      </c>
      <c r="F96" s="83">
        <v>33</v>
      </c>
      <c r="G96" s="83">
        <v>36</v>
      </c>
      <c r="H96" s="83">
        <v>34</v>
      </c>
      <c r="I96" s="83">
        <v>33</v>
      </c>
      <c r="J96" s="83">
        <v>30</v>
      </c>
      <c r="K96" s="83">
        <v>31</v>
      </c>
      <c r="L96" s="83">
        <v>34</v>
      </c>
      <c r="M96" s="83">
        <v>45</v>
      </c>
      <c r="N96" s="83">
        <v>94</v>
      </c>
      <c r="O96" s="83">
        <v>83</v>
      </c>
      <c r="P96" s="83">
        <v>97</v>
      </c>
      <c r="Q96" s="83">
        <v>107</v>
      </c>
      <c r="R96" s="83">
        <v>106</v>
      </c>
      <c r="S96" s="83">
        <v>114</v>
      </c>
      <c r="T96" s="83">
        <v>117</v>
      </c>
      <c r="U96" s="83">
        <v>115</v>
      </c>
      <c r="V96" s="83">
        <v>107</v>
      </c>
      <c r="W96" s="83">
        <v>115</v>
      </c>
      <c r="X96" s="83">
        <v>115</v>
      </c>
      <c r="Y96" s="83">
        <v>113</v>
      </c>
      <c r="Z96" s="83">
        <v>121</v>
      </c>
      <c r="AA96" s="83">
        <v>113</v>
      </c>
      <c r="AB96" s="83">
        <v>112</v>
      </c>
      <c r="AC96" s="83">
        <v>110</v>
      </c>
      <c r="AD96" s="83">
        <v>105</v>
      </c>
      <c r="AE96" s="83">
        <v>111</v>
      </c>
      <c r="AF96" s="83">
        <v>109</v>
      </c>
      <c r="AG96" s="83">
        <v>104</v>
      </c>
      <c r="AH96" s="83">
        <v>100</v>
      </c>
      <c r="AI96" s="83">
        <v>103</v>
      </c>
      <c r="AJ96" s="83">
        <v>103</v>
      </c>
      <c r="AK96" s="83">
        <v>106</v>
      </c>
      <c r="AL96" s="83">
        <v>106</v>
      </c>
      <c r="AM96" s="83">
        <v>105</v>
      </c>
      <c r="AN96" s="83">
        <v>102</v>
      </c>
      <c r="AO96" s="83">
        <v>97</v>
      </c>
      <c r="AP96" s="83">
        <v>95</v>
      </c>
      <c r="AQ96" s="83">
        <v>94</v>
      </c>
      <c r="AR96" s="83">
        <v>93</v>
      </c>
      <c r="AS96" s="83">
        <v>91</v>
      </c>
      <c r="AT96" s="83">
        <v>87</v>
      </c>
      <c r="AU96" s="83">
        <v>86</v>
      </c>
      <c r="AV96" s="83">
        <v>82</v>
      </c>
      <c r="AW96" s="83">
        <v>82</v>
      </c>
    </row>
    <row r="97" spans="1:49" x14ac:dyDescent="0.15">
      <c r="A97" s="83">
        <v>20210130</v>
      </c>
      <c r="B97" s="83">
        <v>59</v>
      </c>
      <c r="C97" s="83">
        <v>49</v>
      </c>
      <c r="D97" s="83">
        <v>50</v>
      </c>
      <c r="E97" s="83">
        <v>44</v>
      </c>
      <c r="F97" s="83">
        <v>47</v>
      </c>
      <c r="G97" s="83">
        <v>49</v>
      </c>
      <c r="H97" s="83">
        <v>48</v>
      </c>
      <c r="I97" s="83">
        <v>46</v>
      </c>
      <c r="J97" s="83">
        <v>33</v>
      </c>
      <c r="K97" s="83">
        <v>29</v>
      </c>
      <c r="L97" s="83">
        <v>31</v>
      </c>
      <c r="M97" s="83">
        <v>43</v>
      </c>
      <c r="N97" s="83">
        <v>93</v>
      </c>
      <c r="O97" s="83">
        <v>90</v>
      </c>
      <c r="P97" s="83">
        <v>97</v>
      </c>
      <c r="Q97" s="83">
        <v>102</v>
      </c>
      <c r="R97" s="83">
        <v>105</v>
      </c>
      <c r="S97" s="83">
        <v>114</v>
      </c>
      <c r="T97" s="83">
        <v>122</v>
      </c>
      <c r="U97" s="83">
        <v>118</v>
      </c>
      <c r="V97" s="83">
        <v>113</v>
      </c>
      <c r="W97" s="83">
        <v>112</v>
      </c>
      <c r="X97" s="83">
        <v>114</v>
      </c>
      <c r="Y97" s="83">
        <v>111</v>
      </c>
      <c r="Z97" s="83">
        <v>120</v>
      </c>
      <c r="AA97" s="83">
        <v>115</v>
      </c>
      <c r="AB97" s="83">
        <v>113</v>
      </c>
      <c r="AC97" s="83">
        <v>115</v>
      </c>
      <c r="AD97" s="83">
        <v>110</v>
      </c>
      <c r="AE97" s="83">
        <v>113</v>
      </c>
      <c r="AF97" s="83">
        <v>113</v>
      </c>
      <c r="AG97" s="83">
        <v>108</v>
      </c>
      <c r="AH97" s="83">
        <v>105</v>
      </c>
      <c r="AI97" s="83">
        <v>103</v>
      </c>
      <c r="AJ97" s="83">
        <v>104</v>
      </c>
      <c r="AK97" s="83">
        <v>104</v>
      </c>
      <c r="AL97" s="83">
        <v>104</v>
      </c>
      <c r="AM97" s="83">
        <v>103</v>
      </c>
      <c r="AN97" s="83">
        <v>98</v>
      </c>
      <c r="AO97" s="83">
        <v>98</v>
      </c>
      <c r="AP97" s="83">
        <v>96</v>
      </c>
      <c r="AQ97" s="83">
        <v>100</v>
      </c>
      <c r="AR97" s="83">
        <v>91</v>
      </c>
      <c r="AS97" s="83">
        <v>88</v>
      </c>
      <c r="AT97" s="83">
        <v>84</v>
      </c>
      <c r="AU97" s="83">
        <v>84</v>
      </c>
      <c r="AV97" s="83">
        <v>83</v>
      </c>
      <c r="AW97" s="83">
        <v>81</v>
      </c>
    </row>
    <row r="98" spans="1:49" x14ac:dyDescent="0.15">
      <c r="A98" s="83">
        <v>20210131</v>
      </c>
      <c r="B98" s="83">
        <v>51</v>
      </c>
      <c r="C98" s="83">
        <v>37</v>
      </c>
      <c r="D98" s="83">
        <v>36</v>
      </c>
      <c r="E98" s="83">
        <v>31</v>
      </c>
      <c r="F98" s="83">
        <v>33</v>
      </c>
      <c r="G98" s="83">
        <v>35</v>
      </c>
      <c r="H98" s="83">
        <v>34</v>
      </c>
      <c r="I98" s="83">
        <v>33</v>
      </c>
      <c r="J98" s="83">
        <v>30</v>
      </c>
      <c r="K98" s="83">
        <v>31</v>
      </c>
      <c r="L98" s="83">
        <v>35</v>
      </c>
      <c r="M98" s="83">
        <v>47</v>
      </c>
      <c r="N98" s="83">
        <v>98</v>
      </c>
      <c r="O98" s="83">
        <v>84</v>
      </c>
      <c r="P98" s="83">
        <v>98</v>
      </c>
      <c r="Q98" s="83">
        <v>106</v>
      </c>
      <c r="R98" s="83">
        <v>107</v>
      </c>
      <c r="S98" s="83">
        <v>110</v>
      </c>
      <c r="T98" s="83">
        <v>119</v>
      </c>
      <c r="U98" s="83">
        <v>125</v>
      </c>
      <c r="V98" s="83">
        <v>119</v>
      </c>
      <c r="W98" s="83">
        <v>117</v>
      </c>
      <c r="X98" s="83">
        <v>123</v>
      </c>
      <c r="Y98" s="83">
        <v>113</v>
      </c>
      <c r="Z98" s="83">
        <v>117</v>
      </c>
      <c r="AA98" s="83">
        <v>116</v>
      </c>
      <c r="AB98" s="83">
        <v>116</v>
      </c>
      <c r="AC98" s="83">
        <v>120</v>
      </c>
      <c r="AD98" s="83">
        <v>119</v>
      </c>
      <c r="AE98" s="83">
        <v>122</v>
      </c>
      <c r="AF98" s="83">
        <v>113</v>
      </c>
      <c r="AG98" s="83">
        <v>108</v>
      </c>
      <c r="AH98" s="83">
        <v>105</v>
      </c>
      <c r="AI98" s="83">
        <v>105</v>
      </c>
      <c r="AJ98" s="83">
        <v>109</v>
      </c>
      <c r="AK98" s="83">
        <v>101</v>
      </c>
      <c r="AL98" s="83">
        <v>102</v>
      </c>
      <c r="AM98" s="83">
        <v>109</v>
      </c>
      <c r="AN98" s="83">
        <v>99</v>
      </c>
      <c r="AO98" s="83">
        <v>100</v>
      </c>
      <c r="AP98" s="83">
        <v>96</v>
      </c>
      <c r="AQ98" s="83">
        <v>102</v>
      </c>
      <c r="AR98" s="83">
        <v>99</v>
      </c>
      <c r="AS98" s="83">
        <v>91</v>
      </c>
      <c r="AT98" s="83">
        <v>84</v>
      </c>
      <c r="AU98" s="83">
        <v>87</v>
      </c>
      <c r="AV98" s="83">
        <v>81</v>
      </c>
      <c r="AW98" s="83">
        <v>80</v>
      </c>
    </row>
    <row r="99" spans="1:49" x14ac:dyDescent="0.15">
      <c r="A99" s="72"/>
      <c r="B99" s="65">
        <f>AVERAGE(B68:B98)</f>
        <v>54.193548387096776</v>
      </c>
      <c r="C99" s="65">
        <f t="shared" ref="C99:AW99" si="4">AVERAGE(C68:C98)</f>
        <v>40.612903225806448</v>
      </c>
      <c r="D99" s="65">
        <f t="shared" si="4"/>
        <v>38.548387096774192</v>
      </c>
      <c r="E99" s="65">
        <f t="shared" si="4"/>
        <v>34.87096774193548</v>
      </c>
      <c r="F99" s="65">
        <f t="shared" si="4"/>
        <v>36.225806451612904</v>
      </c>
      <c r="G99" s="65">
        <f t="shared" si="4"/>
        <v>38.387096774193552</v>
      </c>
      <c r="H99" s="65">
        <f t="shared" si="4"/>
        <v>36.838709677419352</v>
      </c>
      <c r="I99" s="65">
        <f t="shared" si="4"/>
        <v>35.354838709677416</v>
      </c>
      <c r="J99" s="65">
        <f t="shared" si="4"/>
        <v>32.935483870967744</v>
      </c>
      <c r="K99" s="65">
        <f t="shared" si="4"/>
        <v>33.387096774193552</v>
      </c>
      <c r="L99" s="65">
        <f t="shared" si="4"/>
        <v>38.645161290322584</v>
      </c>
      <c r="M99" s="65">
        <f t="shared" si="4"/>
        <v>54.29032258064516</v>
      </c>
      <c r="N99" s="65">
        <f t="shared" si="4"/>
        <v>90.741935483870961</v>
      </c>
      <c r="O99" s="65">
        <f t="shared" si="4"/>
        <v>86.967741935483872</v>
      </c>
      <c r="P99" s="65">
        <f t="shared" si="4"/>
        <v>99.096774193548384</v>
      </c>
      <c r="Q99" s="65">
        <f t="shared" si="4"/>
        <v>105.74193548387096</v>
      </c>
      <c r="R99" s="65">
        <f t="shared" si="4"/>
        <v>106.3225806451613</v>
      </c>
      <c r="S99" s="65">
        <f t="shared" si="4"/>
        <v>114.3225806451613</v>
      </c>
      <c r="T99" s="65">
        <f t="shared" si="4"/>
        <v>119.58064516129032</v>
      </c>
      <c r="U99" s="65">
        <f t="shared" si="4"/>
        <v>116.09677419354838</v>
      </c>
      <c r="V99" s="65">
        <f t="shared" si="4"/>
        <v>112.61290322580645</v>
      </c>
      <c r="W99" s="65">
        <f t="shared" si="4"/>
        <v>112.96774193548387</v>
      </c>
      <c r="X99" s="65">
        <f t="shared" si="4"/>
        <v>113.29032258064517</v>
      </c>
      <c r="Y99" s="65">
        <f t="shared" si="4"/>
        <v>114.25806451612904</v>
      </c>
      <c r="Z99" s="65">
        <f t="shared" si="4"/>
        <v>117.19354838709677</v>
      </c>
      <c r="AA99" s="65">
        <f t="shared" si="4"/>
        <v>118</v>
      </c>
      <c r="AB99" s="65">
        <f t="shared" si="4"/>
        <v>114</v>
      </c>
      <c r="AC99" s="65">
        <f t="shared" si="4"/>
        <v>114.58064516129032</v>
      </c>
      <c r="AD99" s="65">
        <f>AVERAGE(AD68:AD98)</f>
        <v>110.90322580645162</v>
      </c>
      <c r="AE99" s="65">
        <f t="shared" si="4"/>
        <v>116</v>
      </c>
      <c r="AF99" s="65">
        <f t="shared" si="4"/>
        <v>110.6774193548387</v>
      </c>
      <c r="AG99" s="65">
        <f t="shared" si="4"/>
        <v>107.87096774193549</v>
      </c>
      <c r="AH99" s="65">
        <f t="shared" si="4"/>
        <v>105.38709677419355</v>
      </c>
      <c r="AI99" s="65">
        <f t="shared" si="4"/>
        <v>104.29032258064517</v>
      </c>
      <c r="AJ99" s="65">
        <f t="shared" si="4"/>
        <v>103.38709677419355</v>
      </c>
      <c r="AK99" s="65">
        <f t="shared" si="4"/>
        <v>103.58064516129032</v>
      </c>
      <c r="AL99" s="65">
        <f t="shared" si="4"/>
        <v>103.06451612903226</v>
      </c>
      <c r="AM99" s="65">
        <f t="shared" si="4"/>
        <v>106.12903225806451</v>
      </c>
      <c r="AN99" s="65">
        <f t="shared" si="4"/>
        <v>101.6774193548387</v>
      </c>
      <c r="AO99" s="65">
        <f t="shared" si="4"/>
        <v>100.35483870967742</v>
      </c>
      <c r="AP99" s="65">
        <f t="shared" si="4"/>
        <v>96.258064516129039</v>
      </c>
      <c r="AQ99" s="65">
        <f t="shared" si="4"/>
        <v>97.032258064516128</v>
      </c>
      <c r="AR99" s="65">
        <f t="shared" si="4"/>
        <v>91.870967741935488</v>
      </c>
      <c r="AS99" s="65">
        <f t="shared" si="4"/>
        <v>86.451612903225808</v>
      </c>
      <c r="AT99" s="65">
        <f t="shared" si="4"/>
        <v>82.258064516129039</v>
      </c>
      <c r="AU99" s="65">
        <f t="shared" si="4"/>
        <v>81.903225806451616</v>
      </c>
      <c r="AV99" s="65">
        <f t="shared" si="4"/>
        <v>80.258064516129039</v>
      </c>
      <c r="AW99" s="65">
        <f t="shared" si="4"/>
        <v>78.870967741935488</v>
      </c>
    </row>
    <row r="100" spans="1:49" x14ac:dyDescent="0.15">
      <c r="A100" s="72"/>
      <c r="B100" s="173">
        <f>AVERAGE(B68:C99)</f>
        <v>47.403225806451609</v>
      </c>
      <c r="C100" s="173"/>
      <c r="D100" s="173">
        <f>AVERAGE(D68:E99)</f>
        <v>36.70967741935484</v>
      </c>
      <c r="E100" s="173"/>
      <c r="F100" s="173">
        <f>AVERAGE(F68:G99)</f>
        <v>37.306451612903224</v>
      </c>
      <c r="G100" s="173"/>
      <c r="H100" s="173">
        <f>AVERAGE(H68:I99)</f>
        <v>36.096774193548391</v>
      </c>
      <c r="I100" s="173"/>
      <c r="J100" s="173">
        <f>AVERAGE(J68:K99)</f>
        <v>33.161290322580648</v>
      </c>
      <c r="K100" s="173"/>
      <c r="L100" s="173">
        <f>AVERAGE(L68:M99)</f>
        <v>46.467741935483872</v>
      </c>
      <c r="M100" s="173"/>
      <c r="N100" s="173">
        <f>AVERAGE(N68:O99)</f>
        <v>88.854838709677423</v>
      </c>
      <c r="O100" s="173"/>
      <c r="P100" s="173">
        <f>AVERAGE(P68:Q99)</f>
        <v>102.41935483870968</v>
      </c>
      <c r="Q100" s="173"/>
      <c r="R100" s="173">
        <f>AVERAGE(R68:S99)</f>
        <v>110.32258064516128</v>
      </c>
      <c r="S100" s="173"/>
      <c r="T100" s="173">
        <f>AVERAGE(T68:U99)</f>
        <v>117.83870967741936</v>
      </c>
      <c r="U100" s="173"/>
      <c r="V100" s="173">
        <f>AVERAGE(V68:W99)</f>
        <v>112.79032258064517</v>
      </c>
      <c r="W100" s="173"/>
      <c r="X100" s="173">
        <f>AVERAGE(X68:Y99)</f>
        <v>113.77419354838709</v>
      </c>
      <c r="Y100" s="173"/>
      <c r="Z100" s="173">
        <f>AVERAGE(Z68:AA99)</f>
        <v>117.59677419354838</v>
      </c>
      <c r="AA100" s="173"/>
      <c r="AB100" s="173">
        <f>AVERAGE(AB68:AC99)</f>
        <v>114.29032258064517</v>
      </c>
      <c r="AC100" s="173"/>
      <c r="AD100" s="173">
        <f>AVERAGE(AD68:AE99)</f>
        <v>113.45161290322581</v>
      </c>
      <c r="AE100" s="173"/>
      <c r="AF100" s="173">
        <f>AVERAGE(AF68:AG99)</f>
        <v>109.2741935483871</v>
      </c>
      <c r="AG100" s="173"/>
      <c r="AH100" s="173">
        <f>AVERAGE(AH68:AI99)</f>
        <v>104.83870967741935</v>
      </c>
      <c r="AI100" s="173"/>
      <c r="AJ100" s="173">
        <f>AVERAGE(AJ68:AK99)</f>
        <v>103.48387096774194</v>
      </c>
      <c r="AK100" s="173"/>
      <c r="AL100" s="173">
        <f>AVERAGE(AL68:AM99)</f>
        <v>104.59677419354838</v>
      </c>
      <c r="AM100" s="173"/>
      <c r="AN100" s="173">
        <f>AVERAGE(AN68:AO99)</f>
        <v>101.01612903225806</v>
      </c>
      <c r="AO100" s="173"/>
      <c r="AP100" s="173">
        <f>AVERAGE(AP68:AQ99)</f>
        <v>96.645161290322577</v>
      </c>
      <c r="AQ100" s="173"/>
      <c r="AR100" s="173">
        <f>AVERAGE(AR68:AS99)</f>
        <v>89.161290322580641</v>
      </c>
      <c r="AS100" s="173"/>
      <c r="AT100" s="173">
        <f>AVERAGE(AT68:AU99)</f>
        <v>82.08064516129032</v>
      </c>
      <c r="AU100" s="173"/>
      <c r="AV100" s="173">
        <f>AVERAGE(AV68:AW99)</f>
        <v>79.564516129032256</v>
      </c>
      <c r="AW100" s="173"/>
    </row>
    <row r="101" spans="1:49" x14ac:dyDescent="0.15">
      <c r="A101" s="83">
        <v>20210201</v>
      </c>
      <c r="B101" s="83">
        <v>50</v>
      </c>
      <c r="C101" s="83">
        <v>37</v>
      </c>
      <c r="D101" s="83">
        <v>35</v>
      </c>
      <c r="E101" s="83">
        <v>31</v>
      </c>
      <c r="F101" s="83">
        <v>32</v>
      </c>
      <c r="G101" s="83">
        <v>35</v>
      </c>
      <c r="H101" s="83">
        <v>32</v>
      </c>
      <c r="I101" s="83">
        <v>32</v>
      </c>
      <c r="J101" s="83">
        <v>29</v>
      </c>
      <c r="K101" s="83">
        <v>30</v>
      </c>
      <c r="L101" s="83">
        <v>30</v>
      </c>
      <c r="M101" s="83">
        <v>40</v>
      </c>
      <c r="N101" s="83">
        <v>93</v>
      </c>
      <c r="O101" s="83">
        <v>84</v>
      </c>
      <c r="P101" s="83">
        <v>98</v>
      </c>
      <c r="Q101" s="83">
        <v>103</v>
      </c>
      <c r="R101" s="83">
        <v>107</v>
      </c>
      <c r="S101" s="83">
        <v>115</v>
      </c>
      <c r="T101" s="83">
        <v>118</v>
      </c>
      <c r="U101" s="83">
        <v>117</v>
      </c>
      <c r="V101" s="83">
        <v>119</v>
      </c>
      <c r="W101" s="83">
        <v>113</v>
      </c>
      <c r="X101" s="83">
        <v>114</v>
      </c>
      <c r="Y101" s="83">
        <v>111</v>
      </c>
      <c r="Z101" s="83">
        <v>120</v>
      </c>
      <c r="AA101" s="83">
        <v>120</v>
      </c>
      <c r="AB101" s="83">
        <v>116</v>
      </c>
      <c r="AC101" s="83">
        <v>113</v>
      </c>
      <c r="AD101" s="83">
        <v>110</v>
      </c>
      <c r="AE101" s="83">
        <v>118</v>
      </c>
      <c r="AF101" s="83">
        <v>114</v>
      </c>
      <c r="AG101" s="83">
        <v>109</v>
      </c>
      <c r="AH101" s="83">
        <v>102</v>
      </c>
      <c r="AI101" s="83">
        <v>103</v>
      </c>
      <c r="AJ101" s="83">
        <v>102</v>
      </c>
      <c r="AK101" s="83">
        <v>106</v>
      </c>
      <c r="AL101" s="83">
        <v>106</v>
      </c>
      <c r="AM101" s="83">
        <v>109</v>
      </c>
      <c r="AN101" s="83">
        <v>99</v>
      </c>
      <c r="AO101" s="83">
        <v>100</v>
      </c>
      <c r="AP101" s="83">
        <v>97</v>
      </c>
      <c r="AQ101" s="83">
        <v>98</v>
      </c>
      <c r="AR101" s="83">
        <v>94</v>
      </c>
      <c r="AS101" s="83">
        <v>88</v>
      </c>
      <c r="AT101" s="83">
        <v>82</v>
      </c>
      <c r="AU101" s="83">
        <v>86</v>
      </c>
      <c r="AV101" s="83">
        <v>82</v>
      </c>
      <c r="AW101" s="83">
        <v>83</v>
      </c>
    </row>
    <row r="102" spans="1:49" x14ac:dyDescent="0.15">
      <c r="A102" s="83">
        <v>20210202</v>
      </c>
      <c r="B102" s="83">
        <v>54</v>
      </c>
      <c r="C102" s="83">
        <v>39</v>
      </c>
      <c r="D102" s="83">
        <v>36</v>
      </c>
      <c r="E102" s="83">
        <v>32</v>
      </c>
      <c r="F102" s="83">
        <v>34</v>
      </c>
      <c r="G102" s="83">
        <v>36</v>
      </c>
      <c r="H102" s="83">
        <v>36</v>
      </c>
      <c r="I102" s="83">
        <v>32</v>
      </c>
      <c r="J102" s="83">
        <v>31</v>
      </c>
      <c r="K102" s="83">
        <v>39</v>
      </c>
      <c r="L102" s="83">
        <v>51</v>
      </c>
      <c r="M102" s="83">
        <v>72</v>
      </c>
      <c r="N102" s="83">
        <v>89</v>
      </c>
      <c r="O102" s="83">
        <v>82</v>
      </c>
      <c r="P102" s="83">
        <v>98</v>
      </c>
      <c r="Q102" s="83">
        <v>106</v>
      </c>
      <c r="R102" s="83">
        <v>101</v>
      </c>
      <c r="S102" s="83">
        <v>115</v>
      </c>
      <c r="T102" s="83">
        <v>121</v>
      </c>
      <c r="U102" s="83">
        <v>113</v>
      </c>
      <c r="V102" s="83">
        <v>111</v>
      </c>
      <c r="W102" s="83">
        <v>111</v>
      </c>
      <c r="X102" s="83">
        <v>112</v>
      </c>
      <c r="Y102" s="83">
        <v>111</v>
      </c>
      <c r="Z102" s="83">
        <v>113</v>
      </c>
      <c r="AA102" s="83">
        <v>115</v>
      </c>
      <c r="AB102" s="83">
        <v>112</v>
      </c>
      <c r="AC102" s="83">
        <v>111</v>
      </c>
      <c r="AD102" s="83">
        <v>110</v>
      </c>
      <c r="AE102" s="83">
        <v>113</v>
      </c>
      <c r="AF102" s="83">
        <v>106</v>
      </c>
      <c r="AG102" s="83">
        <v>110</v>
      </c>
      <c r="AH102" s="83">
        <v>103</v>
      </c>
      <c r="AI102" s="83">
        <v>104</v>
      </c>
      <c r="AJ102" s="83">
        <v>103</v>
      </c>
      <c r="AK102" s="83">
        <v>107</v>
      </c>
      <c r="AL102" s="83">
        <v>105</v>
      </c>
      <c r="AM102" s="83">
        <v>105</v>
      </c>
      <c r="AN102" s="83">
        <v>104</v>
      </c>
      <c r="AO102" s="83">
        <v>100</v>
      </c>
      <c r="AP102" s="83">
        <v>101</v>
      </c>
      <c r="AQ102" s="83">
        <v>103</v>
      </c>
      <c r="AR102" s="83">
        <v>95</v>
      </c>
      <c r="AS102" s="83">
        <v>89</v>
      </c>
      <c r="AT102" s="83">
        <v>82</v>
      </c>
      <c r="AU102" s="83">
        <v>82</v>
      </c>
      <c r="AV102" s="83">
        <v>79</v>
      </c>
      <c r="AW102" s="83">
        <v>80</v>
      </c>
    </row>
    <row r="103" spans="1:49" x14ac:dyDescent="0.15">
      <c r="A103" s="83">
        <v>20210203</v>
      </c>
      <c r="B103" s="83">
        <v>55</v>
      </c>
      <c r="C103" s="83">
        <v>39</v>
      </c>
      <c r="D103" s="83">
        <v>35</v>
      </c>
      <c r="E103" s="83">
        <v>32</v>
      </c>
      <c r="F103" s="83">
        <v>33</v>
      </c>
      <c r="G103" s="83">
        <v>35</v>
      </c>
      <c r="H103" s="83">
        <v>34</v>
      </c>
      <c r="I103" s="83">
        <v>33</v>
      </c>
      <c r="J103" s="83">
        <v>29</v>
      </c>
      <c r="K103" s="83">
        <v>30</v>
      </c>
      <c r="L103" s="83">
        <v>35</v>
      </c>
      <c r="M103" s="83">
        <v>46</v>
      </c>
      <c r="N103" s="83">
        <v>89</v>
      </c>
      <c r="O103" s="83">
        <v>83</v>
      </c>
      <c r="P103" s="83">
        <v>94</v>
      </c>
      <c r="Q103" s="83">
        <v>103</v>
      </c>
      <c r="R103" s="83">
        <v>105</v>
      </c>
      <c r="S103" s="83">
        <v>117</v>
      </c>
      <c r="T103" s="83">
        <v>114</v>
      </c>
      <c r="U103" s="83">
        <v>107</v>
      </c>
      <c r="V103" s="83">
        <v>110</v>
      </c>
      <c r="W103" s="83">
        <v>109</v>
      </c>
      <c r="X103" s="83">
        <v>110</v>
      </c>
      <c r="Y103" s="83">
        <v>110</v>
      </c>
      <c r="Z103" s="83">
        <v>112</v>
      </c>
      <c r="AA103" s="83">
        <v>109</v>
      </c>
      <c r="AB103" s="83">
        <v>106</v>
      </c>
      <c r="AC103" s="83">
        <v>106</v>
      </c>
      <c r="AD103" s="83">
        <v>108</v>
      </c>
      <c r="AE103" s="83">
        <v>109</v>
      </c>
      <c r="AF103" s="83">
        <v>106</v>
      </c>
      <c r="AG103" s="83">
        <v>102</v>
      </c>
      <c r="AH103" s="83">
        <v>102</v>
      </c>
      <c r="AI103" s="83">
        <v>100</v>
      </c>
      <c r="AJ103" s="83">
        <v>100</v>
      </c>
      <c r="AK103" s="83">
        <v>101</v>
      </c>
      <c r="AL103" s="83">
        <v>99</v>
      </c>
      <c r="AM103" s="83">
        <v>102</v>
      </c>
      <c r="AN103" s="83">
        <v>101</v>
      </c>
      <c r="AO103" s="83">
        <v>101</v>
      </c>
      <c r="AP103" s="83">
        <v>97</v>
      </c>
      <c r="AQ103" s="83">
        <v>94</v>
      </c>
      <c r="AR103" s="83">
        <v>88</v>
      </c>
      <c r="AS103" s="83">
        <v>86</v>
      </c>
      <c r="AT103" s="83">
        <v>83</v>
      </c>
      <c r="AU103" s="83">
        <v>83</v>
      </c>
      <c r="AV103" s="83">
        <v>84</v>
      </c>
      <c r="AW103" s="83">
        <v>81</v>
      </c>
    </row>
    <row r="104" spans="1:49" x14ac:dyDescent="0.15">
      <c r="A104" s="83">
        <v>20210204</v>
      </c>
      <c r="B104" s="83">
        <v>52</v>
      </c>
      <c r="C104" s="83">
        <v>37</v>
      </c>
      <c r="D104" s="83">
        <v>35</v>
      </c>
      <c r="E104" s="83">
        <v>32</v>
      </c>
      <c r="F104" s="83">
        <v>34</v>
      </c>
      <c r="G104" s="83">
        <v>35</v>
      </c>
      <c r="H104" s="83">
        <v>34</v>
      </c>
      <c r="I104" s="83">
        <v>32</v>
      </c>
      <c r="J104" s="83">
        <v>29</v>
      </c>
      <c r="K104" s="83">
        <v>30</v>
      </c>
      <c r="L104" s="83">
        <v>34</v>
      </c>
      <c r="M104" s="83">
        <v>48</v>
      </c>
      <c r="N104" s="83">
        <v>94</v>
      </c>
      <c r="O104" s="83">
        <v>85</v>
      </c>
      <c r="P104" s="83">
        <v>99</v>
      </c>
      <c r="Q104" s="83">
        <v>101</v>
      </c>
      <c r="R104" s="83">
        <v>106</v>
      </c>
      <c r="S104" s="83">
        <v>119</v>
      </c>
      <c r="T104" s="83">
        <v>126</v>
      </c>
      <c r="U104" s="83">
        <v>113</v>
      </c>
      <c r="V104" s="83">
        <v>113</v>
      </c>
      <c r="W104" s="83">
        <v>111</v>
      </c>
      <c r="X104" s="83">
        <v>110</v>
      </c>
      <c r="Y104" s="83">
        <v>112</v>
      </c>
      <c r="Z104" s="83">
        <v>118</v>
      </c>
      <c r="AA104" s="83">
        <v>118</v>
      </c>
      <c r="AB104" s="83">
        <v>113</v>
      </c>
      <c r="AC104" s="83">
        <v>113</v>
      </c>
      <c r="AD104" s="83">
        <v>110</v>
      </c>
      <c r="AE104" s="83">
        <v>113</v>
      </c>
      <c r="AF104" s="83">
        <v>109</v>
      </c>
      <c r="AG104" s="83">
        <v>104</v>
      </c>
      <c r="AH104" s="83">
        <v>103</v>
      </c>
      <c r="AI104" s="83">
        <v>102</v>
      </c>
      <c r="AJ104" s="83">
        <v>103</v>
      </c>
      <c r="AK104" s="83">
        <v>105</v>
      </c>
      <c r="AL104" s="83">
        <v>101</v>
      </c>
      <c r="AM104" s="83">
        <v>105</v>
      </c>
      <c r="AN104" s="83">
        <v>101</v>
      </c>
      <c r="AO104" s="83">
        <v>101</v>
      </c>
      <c r="AP104" s="83">
        <v>97</v>
      </c>
      <c r="AQ104" s="83">
        <v>98</v>
      </c>
      <c r="AR104" s="83">
        <v>93</v>
      </c>
      <c r="AS104" s="83">
        <v>86</v>
      </c>
      <c r="AT104" s="83">
        <v>81</v>
      </c>
      <c r="AU104" s="83">
        <v>82</v>
      </c>
      <c r="AV104" s="83">
        <v>83</v>
      </c>
      <c r="AW104" s="83">
        <v>80</v>
      </c>
    </row>
    <row r="105" spans="1:49" x14ac:dyDescent="0.15">
      <c r="A105" s="83">
        <v>20210205</v>
      </c>
      <c r="B105" s="83">
        <v>56</v>
      </c>
      <c r="C105" s="83">
        <v>38</v>
      </c>
      <c r="D105" s="83">
        <v>35</v>
      </c>
      <c r="E105" s="83">
        <v>30</v>
      </c>
      <c r="F105" s="83">
        <v>33</v>
      </c>
      <c r="G105" s="83">
        <v>36</v>
      </c>
      <c r="H105" s="83">
        <v>33</v>
      </c>
      <c r="I105" s="83">
        <v>32</v>
      </c>
      <c r="J105" s="83">
        <v>29</v>
      </c>
      <c r="K105" s="83">
        <v>29</v>
      </c>
      <c r="L105" s="83">
        <v>31</v>
      </c>
      <c r="M105" s="83">
        <v>35</v>
      </c>
      <c r="N105" s="83">
        <v>63</v>
      </c>
      <c r="O105" s="83">
        <v>88</v>
      </c>
      <c r="P105" s="83">
        <v>94</v>
      </c>
      <c r="Q105" s="83">
        <v>107</v>
      </c>
      <c r="R105" s="83">
        <v>103</v>
      </c>
      <c r="S105" s="83">
        <v>107</v>
      </c>
      <c r="T105" s="83">
        <v>112</v>
      </c>
      <c r="U105" s="83">
        <v>112</v>
      </c>
      <c r="V105" s="83">
        <v>109</v>
      </c>
      <c r="W105" s="83">
        <v>107</v>
      </c>
      <c r="X105" s="83">
        <v>110</v>
      </c>
      <c r="Y105" s="83">
        <v>109</v>
      </c>
      <c r="Z105" s="83">
        <v>111</v>
      </c>
      <c r="AA105" s="83">
        <v>115</v>
      </c>
      <c r="AB105" s="83">
        <v>115</v>
      </c>
      <c r="AC105" s="83">
        <v>113</v>
      </c>
      <c r="AD105" s="83">
        <v>105</v>
      </c>
      <c r="AE105" s="83">
        <v>112</v>
      </c>
      <c r="AF105" s="83">
        <v>106</v>
      </c>
      <c r="AG105" s="83">
        <v>109</v>
      </c>
      <c r="AH105" s="83">
        <v>99</v>
      </c>
      <c r="AI105" s="83">
        <v>100</v>
      </c>
      <c r="AJ105" s="83">
        <v>101</v>
      </c>
      <c r="AK105" s="83">
        <v>106</v>
      </c>
      <c r="AL105" s="83">
        <v>103</v>
      </c>
      <c r="AM105" s="83">
        <v>103</v>
      </c>
      <c r="AN105" s="83">
        <v>97</v>
      </c>
      <c r="AO105" s="83">
        <v>93</v>
      </c>
      <c r="AP105" s="83">
        <v>89</v>
      </c>
      <c r="AQ105" s="83">
        <v>92</v>
      </c>
      <c r="AR105" s="83">
        <v>90</v>
      </c>
      <c r="AS105" s="83">
        <v>85</v>
      </c>
      <c r="AT105" s="83">
        <v>81</v>
      </c>
      <c r="AU105" s="83">
        <v>84</v>
      </c>
      <c r="AV105" s="83">
        <v>82</v>
      </c>
      <c r="AW105" s="83">
        <v>81</v>
      </c>
    </row>
    <row r="106" spans="1:49" x14ac:dyDescent="0.15">
      <c r="A106" s="83">
        <v>20210206</v>
      </c>
      <c r="B106" s="83">
        <v>54</v>
      </c>
      <c r="C106" s="83">
        <v>38</v>
      </c>
      <c r="D106" s="83">
        <v>35</v>
      </c>
      <c r="E106" s="83">
        <v>31</v>
      </c>
      <c r="F106" s="83">
        <v>33</v>
      </c>
      <c r="G106" s="83">
        <v>34</v>
      </c>
      <c r="H106" s="83">
        <v>34</v>
      </c>
      <c r="I106" s="83">
        <v>32</v>
      </c>
      <c r="J106" s="83">
        <v>29</v>
      </c>
      <c r="K106" s="83">
        <v>30</v>
      </c>
      <c r="L106" s="83">
        <v>34</v>
      </c>
      <c r="M106" s="83">
        <v>45</v>
      </c>
      <c r="N106" s="83">
        <v>92</v>
      </c>
      <c r="O106" s="83">
        <v>95</v>
      </c>
      <c r="P106" s="83">
        <v>101</v>
      </c>
      <c r="Q106" s="83">
        <v>102</v>
      </c>
      <c r="R106" s="83">
        <v>107</v>
      </c>
      <c r="S106" s="83">
        <v>113</v>
      </c>
      <c r="T106" s="83">
        <v>120</v>
      </c>
      <c r="U106" s="83">
        <v>120</v>
      </c>
      <c r="V106" s="83">
        <v>111</v>
      </c>
      <c r="W106" s="83">
        <v>113</v>
      </c>
      <c r="X106" s="83">
        <v>111</v>
      </c>
      <c r="Y106" s="83">
        <v>115</v>
      </c>
      <c r="Z106" s="83">
        <v>119</v>
      </c>
      <c r="AA106" s="83">
        <v>118</v>
      </c>
      <c r="AB106" s="83">
        <v>118</v>
      </c>
      <c r="AC106" s="83">
        <v>121</v>
      </c>
      <c r="AD106" s="83">
        <v>118</v>
      </c>
      <c r="AE106" s="83">
        <v>116</v>
      </c>
      <c r="AF106" s="83">
        <v>110</v>
      </c>
      <c r="AG106" s="83">
        <v>114</v>
      </c>
      <c r="AH106" s="83">
        <v>108</v>
      </c>
      <c r="AI106" s="83">
        <v>105</v>
      </c>
      <c r="AJ106" s="83">
        <v>106</v>
      </c>
      <c r="AK106" s="83">
        <v>104</v>
      </c>
      <c r="AL106" s="83">
        <v>102</v>
      </c>
      <c r="AM106" s="83">
        <v>109</v>
      </c>
      <c r="AN106" s="83">
        <v>106</v>
      </c>
      <c r="AO106" s="83">
        <v>99</v>
      </c>
      <c r="AP106" s="83">
        <v>102</v>
      </c>
      <c r="AQ106" s="83">
        <v>98</v>
      </c>
      <c r="AR106" s="83">
        <v>95</v>
      </c>
      <c r="AS106" s="83">
        <v>91</v>
      </c>
      <c r="AT106" s="83">
        <v>91</v>
      </c>
      <c r="AU106" s="83">
        <v>87</v>
      </c>
      <c r="AV106" s="83">
        <v>87</v>
      </c>
      <c r="AW106" s="83">
        <v>82</v>
      </c>
    </row>
    <row r="107" spans="1:49" x14ac:dyDescent="0.15">
      <c r="A107" s="83">
        <v>20210207</v>
      </c>
      <c r="B107" s="83">
        <v>52</v>
      </c>
      <c r="C107" s="83">
        <v>39</v>
      </c>
      <c r="D107" s="83">
        <v>37</v>
      </c>
      <c r="E107" s="83">
        <v>34</v>
      </c>
      <c r="F107" s="83">
        <v>34</v>
      </c>
      <c r="G107" s="83">
        <v>36</v>
      </c>
      <c r="H107" s="83">
        <v>36</v>
      </c>
      <c r="I107" s="83">
        <v>33</v>
      </c>
      <c r="J107" s="83">
        <v>31</v>
      </c>
      <c r="K107" s="83">
        <v>31</v>
      </c>
      <c r="L107" s="83">
        <v>36</v>
      </c>
      <c r="M107" s="83">
        <v>47</v>
      </c>
      <c r="N107" s="83">
        <v>99</v>
      </c>
      <c r="O107" s="83">
        <v>100</v>
      </c>
      <c r="P107" s="83">
        <v>103</v>
      </c>
      <c r="Q107" s="83">
        <v>107</v>
      </c>
      <c r="R107" s="83">
        <v>110</v>
      </c>
      <c r="S107" s="83">
        <v>119</v>
      </c>
      <c r="T107" s="83">
        <v>127</v>
      </c>
      <c r="U107" s="83">
        <v>119</v>
      </c>
      <c r="V107" s="83">
        <v>112</v>
      </c>
      <c r="W107" s="83">
        <v>119</v>
      </c>
      <c r="X107" s="83">
        <v>118</v>
      </c>
      <c r="Y107" s="83">
        <v>121</v>
      </c>
      <c r="Z107" s="83">
        <v>117</v>
      </c>
      <c r="AA107" s="83">
        <v>120</v>
      </c>
      <c r="AB107" s="83">
        <v>122</v>
      </c>
      <c r="AC107" s="83">
        <v>118</v>
      </c>
      <c r="AD107" s="83">
        <v>115</v>
      </c>
      <c r="AE107" s="83">
        <v>121</v>
      </c>
      <c r="AF107" s="83">
        <v>115</v>
      </c>
      <c r="AG107" s="83">
        <v>108</v>
      </c>
      <c r="AH107" s="83">
        <v>107</v>
      </c>
      <c r="AI107" s="83">
        <v>105</v>
      </c>
      <c r="AJ107" s="83">
        <v>98</v>
      </c>
      <c r="AK107" s="83">
        <v>102</v>
      </c>
      <c r="AL107" s="83">
        <v>102</v>
      </c>
      <c r="AM107" s="83">
        <v>110</v>
      </c>
      <c r="AN107" s="83">
        <v>107</v>
      </c>
      <c r="AO107" s="83">
        <v>104</v>
      </c>
      <c r="AP107" s="83">
        <v>98</v>
      </c>
      <c r="AQ107" s="83">
        <v>105</v>
      </c>
      <c r="AR107" s="83">
        <v>97</v>
      </c>
      <c r="AS107" s="83">
        <v>88</v>
      </c>
      <c r="AT107" s="83">
        <v>86</v>
      </c>
      <c r="AU107" s="83">
        <v>86</v>
      </c>
      <c r="AV107" s="83">
        <v>85</v>
      </c>
      <c r="AW107" s="83">
        <v>82</v>
      </c>
    </row>
    <row r="108" spans="1:49" x14ac:dyDescent="0.15">
      <c r="A108" s="83">
        <v>20210208</v>
      </c>
      <c r="B108" s="83">
        <v>50</v>
      </c>
      <c r="C108" s="83">
        <v>38</v>
      </c>
      <c r="D108" s="83">
        <v>35</v>
      </c>
      <c r="E108" s="83">
        <v>31</v>
      </c>
      <c r="F108" s="83">
        <v>33</v>
      </c>
      <c r="G108" s="83">
        <v>35</v>
      </c>
      <c r="H108" s="83">
        <v>34</v>
      </c>
      <c r="I108" s="83">
        <v>32</v>
      </c>
      <c r="J108" s="83">
        <v>29</v>
      </c>
      <c r="K108" s="83">
        <v>30</v>
      </c>
      <c r="L108" s="83">
        <v>34</v>
      </c>
      <c r="M108" s="83">
        <v>45</v>
      </c>
      <c r="N108" s="83">
        <v>95</v>
      </c>
      <c r="O108" s="83">
        <v>90</v>
      </c>
      <c r="P108" s="83">
        <v>101</v>
      </c>
      <c r="Q108" s="83">
        <v>104</v>
      </c>
      <c r="R108" s="83">
        <v>104</v>
      </c>
      <c r="S108" s="83">
        <v>116</v>
      </c>
      <c r="T108" s="83">
        <v>122</v>
      </c>
      <c r="U108" s="83">
        <v>118</v>
      </c>
      <c r="V108" s="83">
        <v>111</v>
      </c>
      <c r="W108" s="83">
        <v>114</v>
      </c>
      <c r="X108" s="83">
        <v>117</v>
      </c>
      <c r="Y108" s="83">
        <v>115</v>
      </c>
      <c r="Z108" s="83">
        <v>114</v>
      </c>
      <c r="AA108" s="83">
        <v>111</v>
      </c>
      <c r="AB108" s="83">
        <v>105</v>
      </c>
      <c r="AC108" s="83">
        <v>105</v>
      </c>
      <c r="AD108" s="83">
        <v>102</v>
      </c>
      <c r="AE108" s="83">
        <v>108</v>
      </c>
      <c r="AF108" s="83">
        <v>105</v>
      </c>
      <c r="AG108" s="83">
        <v>107</v>
      </c>
      <c r="AH108" s="83">
        <v>103</v>
      </c>
      <c r="AI108" s="83">
        <v>103</v>
      </c>
      <c r="AJ108" s="83">
        <v>105</v>
      </c>
      <c r="AK108" s="83">
        <v>106</v>
      </c>
      <c r="AL108" s="83">
        <v>106</v>
      </c>
      <c r="AM108" s="83">
        <v>110</v>
      </c>
      <c r="AN108" s="83">
        <v>101</v>
      </c>
      <c r="AO108" s="83">
        <v>98</v>
      </c>
      <c r="AP108" s="83">
        <v>93</v>
      </c>
      <c r="AQ108" s="83">
        <v>94</v>
      </c>
      <c r="AR108" s="83">
        <v>94</v>
      </c>
      <c r="AS108" s="83">
        <v>85</v>
      </c>
      <c r="AT108" s="83">
        <v>83</v>
      </c>
      <c r="AU108" s="83">
        <v>83</v>
      </c>
      <c r="AV108" s="83">
        <v>81</v>
      </c>
      <c r="AW108" s="83">
        <v>79</v>
      </c>
    </row>
    <row r="109" spans="1:49" x14ac:dyDescent="0.15">
      <c r="A109" s="83">
        <v>20210209</v>
      </c>
      <c r="B109" s="83">
        <v>50</v>
      </c>
      <c r="C109" s="83">
        <v>36</v>
      </c>
      <c r="D109" s="83">
        <v>34</v>
      </c>
      <c r="E109" s="83">
        <v>30</v>
      </c>
      <c r="F109" s="83">
        <v>32</v>
      </c>
      <c r="G109" s="83">
        <v>34</v>
      </c>
      <c r="H109" s="83">
        <v>32</v>
      </c>
      <c r="I109" s="83">
        <v>31</v>
      </c>
      <c r="J109" s="83">
        <v>28</v>
      </c>
      <c r="K109" s="83">
        <v>29</v>
      </c>
      <c r="L109" s="83">
        <v>28</v>
      </c>
      <c r="M109" s="83">
        <v>45</v>
      </c>
      <c r="N109" s="83">
        <v>83</v>
      </c>
      <c r="O109" s="83">
        <v>71</v>
      </c>
      <c r="P109" s="83">
        <v>88</v>
      </c>
      <c r="Q109" s="83">
        <v>94</v>
      </c>
      <c r="R109" s="83">
        <v>96</v>
      </c>
      <c r="S109" s="83">
        <v>107</v>
      </c>
      <c r="T109" s="83">
        <v>123</v>
      </c>
      <c r="U109" s="83">
        <v>117</v>
      </c>
      <c r="V109" s="83">
        <v>117</v>
      </c>
      <c r="W109" s="83">
        <v>115</v>
      </c>
      <c r="X109" s="83">
        <v>115</v>
      </c>
      <c r="Y109" s="83">
        <v>113</v>
      </c>
      <c r="Z109" s="83">
        <v>120</v>
      </c>
      <c r="AA109" s="83">
        <v>120</v>
      </c>
      <c r="AB109" s="83">
        <v>116</v>
      </c>
      <c r="AC109" s="83">
        <v>114</v>
      </c>
      <c r="AD109" s="83">
        <v>112</v>
      </c>
      <c r="AE109" s="83">
        <v>115</v>
      </c>
      <c r="AF109" s="83">
        <v>111</v>
      </c>
      <c r="AG109" s="83">
        <v>109</v>
      </c>
      <c r="AH109" s="83">
        <v>107</v>
      </c>
      <c r="AI109" s="83">
        <v>105</v>
      </c>
      <c r="AJ109" s="83">
        <v>105</v>
      </c>
      <c r="AK109" s="83">
        <v>107</v>
      </c>
      <c r="AL109" s="83">
        <v>108</v>
      </c>
      <c r="AM109" s="83">
        <v>107</v>
      </c>
      <c r="AN109" s="83">
        <v>101</v>
      </c>
      <c r="AO109" s="83">
        <v>102</v>
      </c>
      <c r="AP109" s="83">
        <v>96</v>
      </c>
      <c r="AQ109" s="83">
        <v>96</v>
      </c>
      <c r="AR109" s="83">
        <v>93</v>
      </c>
      <c r="AS109" s="83">
        <v>89</v>
      </c>
      <c r="AT109" s="83">
        <v>86</v>
      </c>
      <c r="AU109" s="83">
        <v>86</v>
      </c>
      <c r="AV109" s="83">
        <v>84</v>
      </c>
      <c r="AW109" s="83">
        <v>81</v>
      </c>
    </row>
    <row r="110" spans="1:49" x14ac:dyDescent="0.15">
      <c r="A110" s="83">
        <v>20210210</v>
      </c>
      <c r="B110" s="83">
        <v>57</v>
      </c>
      <c r="C110" s="83">
        <v>38</v>
      </c>
      <c r="D110" s="83">
        <v>37</v>
      </c>
      <c r="E110" s="83">
        <v>33</v>
      </c>
      <c r="F110" s="83">
        <v>33</v>
      </c>
      <c r="G110" s="83">
        <v>36</v>
      </c>
      <c r="H110" s="83">
        <v>35</v>
      </c>
      <c r="I110" s="83">
        <v>33</v>
      </c>
      <c r="J110" s="83">
        <v>30</v>
      </c>
      <c r="K110" s="83">
        <v>31</v>
      </c>
      <c r="L110" s="83">
        <v>33</v>
      </c>
      <c r="M110" s="83">
        <v>53</v>
      </c>
      <c r="N110" s="83">
        <v>77</v>
      </c>
      <c r="O110" s="83">
        <v>81</v>
      </c>
      <c r="P110" s="83">
        <v>93</v>
      </c>
      <c r="Q110" s="83">
        <v>101</v>
      </c>
      <c r="R110" s="83">
        <v>106</v>
      </c>
      <c r="S110" s="83">
        <v>114</v>
      </c>
      <c r="T110" s="83">
        <v>115</v>
      </c>
      <c r="U110" s="83">
        <v>114</v>
      </c>
      <c r="V110" s="83">
        <v>114</v>
      </c>
      <c r="W110" s="83">
        <v>107</v>
      </c>
      <c r="X110" s="83">
        <v>106</v>
      </c>
      <c r="Y110" s="83">
        <v>106</v>
      </c>
      <c r="Z110" s="83">
        <v>108</v>
      </c>
      <c r="AA110" s="83">
        <v>110</v>
      </c>
      <c r="AB110" s="83">
        <v>108</v>
      </c>
      <c r="AC110" s="83">
        <v>106</v>
      </c>
      <c r="AD110" s="83">
        <v>107</v>
      </c>
      <c r="AE110" s="83">
        <v>111</v>
      </c>
      <c r="AF110" s="83">
        <v>105</v>
      </c>
      <c r="AG110" s="83">
        <v>104</v>
      </c>
      <c r="AH110" s="83">
        <v>102</v>
      </c>
      <c r="AI110" s="83">
        <v>99</v>
      </c>
      <c r="AJ110" s="83">
        <v>99</v>
      </c>
      <c r="AK110" s="83">
        <v>99</v>
      </c>
      <c r="AL110" s="83">
        <v>103</v>
      </c>
      <c r="AM110" s="83">
        <v>108</v>
      </c>
      <c r="AN110" s="83">
        <v>99</v>
      </c>
      <c r="AO110" s="83">
        <v>104</v>
      </c>
      <c r="AP110" s="83">
        <v>97</v>
      </c>
      <c r="AQ110" s="83">
        <v>99</v>
      </c>
      <c r="AR110" s="83">
        <v>95</v>
      </c>
      <c r="AS110" s="83">
        <v>92</v>
      </c>
      <c r="AT110" s="83">
        <v>87</v>
      </c>
      <c r="AU110" s="83">
        <v>87</v>
      </c>
      <c r="AV110" s="83">
        <v>89</v>
      </c>
      <c r="AW110" s="83">
        <v>84</v>
      </c>
    </row>
    <row r="111" spans="1:49" x14ac:dyDescent="0.15">
      <c r="A111" s="83">
        <v>20210211</v>
      </c>
      <c r="B111" s="83">
        <v>60</v>
      </c>
      <c r="C111" s="83">
        <v>47</v>
      </c>
      <c r="D111" s="83">
        <v>47</v>
      </c>
      <c r="E111" s="83">
        <v>43</v>
      </c>
      <c r="F111" s="83">
        <v>43</v>
      </c>
      <c r="G111" s="83">
        <v>47</v>
      </c>
      <c r="H111" s="83">
        <v>45</v>
      </c>
      <c r="I111" s="83">
        <v>39</v>
      </c>
      <c r="J111" s="83">
        <v>32</v>
      </c>
      <c r="K111" s="83">
        <v>31</v>
      </c>
      <c r="L111" s="83">
        <v>34</v>
      </c>
      <c r="M111" s="83">
        <v>48</v>
      </c>
      <c r="N111" s="83">
        <v>98</v>
      </c>
      <c r="O111" s="83">
        <v>87</v>
      </c>
      <c r="P111" s="83">
        <v>97</v>
      </c>
      <c r="Q111" s="83">
        <v>106</v>
      </c>
      <c r="R111" s="83">
        <v>105</v>
      </c>
      <c r="S111" s="83">
        <v>116</v>
      </c>
      <c r="T111" s="83">
        <v>119</v>
      </c>
      <c r="U111" s="83">
        <v>115</v>
      </c>
      <c r="V111" s="83">
        <v>117</v>
      </c>
      <c r="W111" s="83">
        <v>115</v>
      </c>
      <c r="X111" s="83">
        <v>116</v>
      </c>
      <c r="Y111" s="83">
        <v>119</v>
      </c>
      <c r="Z111" s="83">
        <v>115</v>
      </c>
      <c r="AA111" s="83">
        <v>117</v>
      </c>
      <c r="AB111" s="83">
        <v>116</v>
      </c>
      <c r="AC111" s="83">
        <v>111</v>
      </c>
      <c r="AD111" s="83">
        <v>107</v>
      </c>
      <c r="AE111" s="83">
        <v>116</v>
      </c>
      <c r="AF111" s="83">
        <v>108</v>
      </c>
      <c r="AG111" s="83">
        <v>104</v>
      </c>
      <c r="AH111" s="83">
        <v>103</v>
      </c>
      <c r="AI111" s="83">
        <v>100</v>
      </c>
      <c r="AJ111" s="83">
        <v>103</v>
      </c>
      <c r="AK111" s="83">
        <v>100</v>
      </c>
      <c r="AL111" s="83">
        <v>99</v>
      </c>
      <c r="AM111" s="83">
        <v>109</v>
      </c>
      <c r="AN111" s="83">
        <v>107</v>
      </c>
      <c r="AO111" s="83">
        <v>101</v>
      </c>
      <c r="AP111" s="83">
        <v>97</v>
      </c>
      <c r="AQ111" s="83">
        <v>105</v>
      </c>
      <c r="AR111" s="83">
        <v>94</v>
      </c>
      <c r="AS111" s="83">
        <v>90</v>
      </c>
      <c r="AT111" s="83">
        <v>84</v>
      </c>
      <c r="AU111" s="83">
        <v>85</v>
      </c>
      <c r="AV111" s="83">
        <v>82</v>
      </c>
      <c r="AW111" s="83">
        <v>82</v>
      </c>
    </row>
    <row r="112" spans="1:49" x14ac:dyDescent="0.15">
      <c r="A112" s="83">
        <v>20210212</v>
      </c>
      <c r="B112" s="83">
        <v>52</v>
      </c>
      <c r="C112" s="83">
        <v>37</v>
      </c>
      <c r="D112" s="83">
        <v>35</v>
      </c>
      <c r="E112" s="83">
        <v>31</v>
      </c>
      <c r="F112" s="83">
        <v>32</v>
      </c>
      <c r="G112" s="83">
        <v>34</v>
      </c>
      <c r="H112" s="83">
        <v>32</v>
      </c>
      <c r="I112" s="83">
        <v>30</v>
      </c>
      <c r="J112" s="83">
        <v>28</v>
      </c>
      <c r="K112" s="83">
        <v>29</v>
      </c>
      <c r="L112" s="83">
        <v>30</v>
      </c>
      <c r="M112" s="83">
        <v>61</v>
      </c>
      <c r="N112" s="83">
        <v>87</v>
      </c>
      <c r="O112" s="83">
        <v>83</v>
      </c>
      <c r="P112" s="83">
        <v>101</v>
      </c>
      <c r="Q112" s="83">
        <v>105</v>
      </c>
      <c r="R112" s="83">
        <v>109</v>
      </c>
      <c r="S112" s="83">
        <v>118</v>
      </c>
      <c r="T112" s="83">
        <v>123</v>
      </c>
      <c r="U112" s="83">
        <v>124</v>
      </c>
      <c r="V112" s="83">
        <v>119</v>
      </c>
      <c r="W112" s="83">
        <v>118</v>
      </c>
      <c r="X112" s="83">
        <v>112</v>
      </c>
      <c r="Y112" s="83">
        <v>113</v>
      </c>
      <c r="Z112" s="83">
        <v>112</v>
      </c>
      <c r="AA112" s="83">
        <v>115</v>
      </c>
      <c r="AB112" s="83">
        <v>115</v>
      </c>
      <c r="AC112" s="83">
        <v>114</v>
      </c>
      <c r="AD112" s="83">
        <v>104</v>
      </c>
      <c r="AE112" s="83">
        <v>119</v>
      </c>
      <c r="AF112" s="83">
        <v>111</v>
      </c>
      <c r="AG112" s="83">
        <v>108</v>
      </c>
      <c r="AH112" s="83">
        <v>102</v>
      </c>
      <c r="AI112" s="83">
        <v>104</v>
      </c>
      <c r="AJ112" s="83">
        <v>106</v>
      </c>
      <c r="AK112" s="83">
        <v>106</v>
      </c>
      <c r="AL112" s="83">
        <v>102</v>
      </c>
      <c r="AM112" s="83">
        <v>107</v>
      </c>
      <c r="AN112" s="83">
        <v>104</v>
      </c>
      <c r="AO112" s="83">
        <v>99</v>
      </c>
      <c r="AP112" s="83">
        <v>98</v>
      </c>
      <c r="AQ112" s="83">
        <v>100</v>
      </c>
      <c r="AR112" s="83">
        <v>95</v>
      </c>
      <c r="AS112" s="83">
        <v>91</v>
      </c>
      <c r="AT112" s="83">
        <v>85</v>
      </c>
      <c r="AU112" s="83">
        <v>84</v>
      </c>
      <c r="AV112" s="83">
        <v>81</v>
      </c>
      <c r="AW112" s="83">
        <v>83</v>
      </c>
    </row>
    <row r="113" spans="1:49" x14ac:dyDescent="0.15">
      <c r="A113" s="83">
        <v>20210213</v>
      </c>
      <c r="B113" s="83">
        <v>56</v>
      </c>
      <c r="C113" s="83">
        <v>38</v>
      </c>
      <c r="D113" s="83">
        <v>35</v>
      </c>
      <c r="E113" s="83">
        <v>32</v>
      </c>
      <c r="F113" s="83">
        <v>33</v>
      </c>
      <c r="G113" s="83">
        <v>36</v>
      </c>
      <c r="H113" s="83">
        <v>34</v>
      </c>
      <c r="I113" s="83">
        <v>31</v>
      </c>
      <c r="J113" s="83">
        <v>31</v>
      </c>
      <c r="K113" s="83">
        <v>30</v>
      </c>
      <c r="L113" s="83">
        <v>33</v>
      </c>
      <c r="M113" s="83">
        <v>47</v>
      </c>
      <c r="N113" s="83">
        <v>98</v>
      </c>
      <c r="O113" s="83">
        <v>92</v>
      </c>
      <c r="P113" s="83">
        <v>105</v>
      </c>
      <c r="Q113" s="83">
        <v>114</v>
      </c>
      <c r="R113" s="83">
        <v>112</v>
      </c>
      <c r="S113" s="83">
        <v>120</v>
      </c>
      <c r="T113" s="83">
        <v>127</v>
      </c>
      <c r="U113" s="83">
        <v>123</v>
      </c>
      <c r="V113" s="83">
        <v>115</v>
      </c>
      <c r="W113" s="83">
        <v>116</v>
      </c>
      <c r="X113" s="83">
        <v>119</v>
      </c>
      <c r="Y113" s="83">
        <v>119</v>
      </c>
      <c r="Z113" s="83">
        <v>120</v>
      </c>
      <c r="AA113" s="83">
        <v>122</v>
      </c>
      <c r="AB113" s="83">
        <v>122</v>
      </c>
      <c r="AC113" s="83">
        <v>120</v>
      </c>
      <c r="AD113" s="83">
        <v>112</v>
      </c>
      <c r="AE113" s="83">
        <v>129</v>
      </c>
      <c r="AF113" s="83">
        <v>119</v>
      </c>
      <c r="AG113" s="83">
        <v>115</v>
      </c>
      <c r="AH113" s="83">
        <v>107</v>
      </c>
      <c r="AI113" s="83">
        <v>109</v>
      </c>
      <c r="AJ113" s="83">
        <v>111</v>
      </c>
      <c r="AK113" s="83">
        <v>110</v>
      </c>
      <c r="AL113" s="83">
        <v>102</v>
      </c>
      <c r="AM113" s="83">
        <v>109</v>
      </c>
      <c r="AN113" s="83">
        <v>101</v>
      </c>
      <c r="AO113" s="83">
        <v>102</v>
      </c>
      <c r="AP113" s="83">
        <v>98</v>
      </c>
      <c r="AQ113" s="83">
        <v>106</v>
      </c>
      <c r="AR113" s="83">
        <v>101</v>
      </c>
      <c r="AS113" s="83">
        <v>94</v>
      </c>
      <c r="AT113" s="83">
        <v>92</v>
      </c>
      <c r="AU113" s="83">
        <v>89</v>
      </c>
      <c r="AV113" s="83">
        <v>87</v>
      </c>
      <c r="AW113" s="83">
        <v>88</v>
      </c>
    </row>
    <row r="114" spans="1:49" x14ac:dyDescent="0.15">
      <c r="A114" s="83">
        <v>20210214</v>
      </c>
      <c r="B114" s="83">
        <v>54</v>
      </c>
      <c r="C114" s="83">
        <v>38</v>
      </c>
      <c r="D114" s="83">
        <v>37</v>
      </c>
      <c r="E114" s="83">
        <v>33</v>
      </c>
      <c r="F114" s="83">
        <v>33</v>
      </c>
      <c r="G114" s="83">
        <v>38</v>
      </c>
      <c r="H114" s="83">
        <v>35</v>
      </c>
      <c r="I114" s="83">
        <v>32</v>
      </c>
      <c r="J114" s="83">
        <v>31</v>
      </c>
      <c r="K114" s="83">
        <v>31</v>
      </c>
      <c r="L114" s="83">
        <v>35</v>
      </c>
      <c r="M114" s="83">
        <v>67</v>
      </c>
      <c r="N114" s="83">
        <v>87</v>
      </c>
      <c r="O114" s="83">
        <v>103</v>
      </c>
      <c r="P114" s="83">
        <v>109</v>
      </c>
      <c r="Q114" s="83">
        <v>108</v>
      </c>
      <c r="R114" s="83">
        <v>112</v>
      </c>
      <c r="S114" s="83">
        <v>123</v>
      </c>
      <c r="T114" s="83">
        <v>123</v>
      </c>
      <c r="U114" s="83">
        <v>119</v>
      </c>
      <c r="V114" s="83">
        <v>115</v>
      </c>
      <c r="W114" s="83">
        <v>118</v>
      </c>
      <c r="X114" s="83">
        <v>118</v>
      </c>
      <c r="Y114" s="83">
        <v>116</v>
      </c>
      <c r="Z114" s="83">
        <v>117</v>
      </c>
      <c r="AA114" s="83">
        <v>120</v>
      </c>
      <c r="AB114" s="83">
        <v>119</v>
      </c>
      <c r="AC114" s="83">
        <v>119</v>
      </c>
      <c r="AD114" s="83">
        <v>119</v>
      </c>
      <c r="AE114" s="83">
        <v>127</v>
      </c>
      <c r="AF114" s="83">
        <v>119</v>
      </c>
      <c r="AG114" s="83">
        <v>112</v>
      </c>
      <c r="AH114" s="83">
        <v>112</v>
      </c>
      <c r="AI114" s="83">
        <v>107</v>
      </c>
      <c r="AJ114" s="83">
        <v>107</v>
      </c>
      <c r="AK114" s="83">
        <v>107</v>
      </c>
      <c r="AL114" s="83">
        <v>105</v>
      </c>
      <c r="AM114" s="83">
        <v>115</v>
      </c>
      <c r="AN114" s="83">
        <v>108</v>
      </c>
      <c r="AO114" s="83">
        <v>106</v>
      </c>
      <c r="AP114" s="83">
        <v>99</v>
      </c>
      <c r="AQ114" s="83">
        <v>108</v>
      </c>
      <c r="AR114" s="83">
        <v>103</v>
      </c>
      <c r="AS114" s="83">
        <v>98</v>
      </c>
      <c r="AT114" s="83">
        <v>93</v>
      </c>
      <c r="AU114" s="83">
        <v>92</v>
      </c>
      <c r="AV114" s="83">
        <v>91</v>
      </c>
      <c r="AW114" s="83">
        <v>84</v>
      </c>
    </row>
    <row r="115" spans="1:49" x14ac:dyDescent="0.15">
      <c r="A115" s="83">
        <v>20210215</v>
      </c>
      <c r="B115" s="83">
        <v>54</v>
      </c>
      <c r="C115" s="83">
        <v>40</v>
      </c>
      <c r="D115" s="83">
        <v>38</v>
      </c>
      <c r="E115" s="83">
        <v>36</v>
      </c>
      <c r="F115" s="83">
        <v>35</v>
      </c>
      <c r="G115" s="83">
        <v>38</v>
      </c>
      <c r="H115" s="83">
        <v>39</v>
      </c>
      <c r="I115" s="83">
        <v>37</v>
      </c>
      <c r="J115" s="83">
        <v>33</v>
      </c>
      <c r="K115" s="83">
        <v>35</v>
      </c>
      <c r="L115" s="83">
        <v>38</v>
      </c>
      <c r="M115" s="83">
        <v>49</v>
      </c>
      <c r="N115" s="83">
        <v>92</v>
      </c>
      <c r="O115" s="83">
        <v>93</v>
      </c>
      <c r="P115" s="83">
        <v>107</v>
      </c>
      <c r="Q115" s="83">
        <v>111</v>
      </c>
      <c r="R115" s="83">
        <v>110</v>
      </c>
      <c r="S115" s="83">
        <v>119</v>
      </c>
      <c r="T115" s="83">
        <v>126</v>
      </c>
      <c r="U115" s="83">
        <v>117</v>
      </c>
      <c r="V115" s="83">
        <v>113</v>
      </c>
      <c r="W115" s="83">
        <v>119</v>
      </c>
      <c r="X115" s="83">
        <v>116</v>
      </c>
      <c r="Y115" s="83">
        <v>108</v>
      </c>
      <c r="Z115" s="83">
        <v>116</v>
      </c>
      <c r="AA115" s="83">
        <v>112</v>
      </c>
      <c r="AB115" s="83">
        <v>115</v>
      </c>
      <c r="AC115" s="83">
        <v>110</v>
      </c>
      <c r="AD115" s="83">
        <v>109</v>
      </c>
      <c r="AE115" s="83">
        <v>117</v>
      </c>
      <c r="AF115" s="83">
        <v>115</v>
      </c>
      <c r="AG115" s="83">
        <v>115</v>
      </c>
      <c r="AH115" s="83">
        <v>102</v>
      </c>
      <c r="AI115" s="83">
        <v>103</v>
      </c>
      <c r="AJ115" s="83">
        <v>105</v>
      </c>
      <c r="AK115" s="83">
        <v>110</v>
      </c>
      <c r="AL115" s="83">
        <v>107</v>
      </c>
      <c r="AM115" s="83">
        <v>107</v>
      </c>
      <c r="AN115" s="83">
        <v>101</v>
      </c>
      <c r="AO115" s="83">
        <v>105</v>
      </c>
      <c r="AP115" s="83">
        <v>98</v>
      </c>
      <c r="AQ115" s="83">
        <v>101</v>
      </c>
      <c r="AR115" s="83">
        <v>100</v>
      </c>
      <c r="AS115" s="83">
        <v>99</v>
      </c>
      <c r="AT115" s="83">
        <v>92</v>
      </c>
      <c r="AU115" s="83">
        <v>89</v>
      </c>
      <c r="AV115" s="83">
        <v>89</v>
      </c>
      <c r="AW115" s="83">
        <v>87</v>
      </c>
    </row>
    <row r="116" spans="1:49" x14ac:dyDescent="0.15">
      <c r="A116" s="83">
        <v>20210216</v>
      </c>
      <c r="B116" s="83">
        <v>56</v>
      </c>
      <c r="C116" s="83">
        <v>40</v>
      </c>
      <c r="D116" s="83">
        <v>36</v>
      </c>
      <c r="E116" s="83">
        <v>33</v>
      </c>
      <c r="F116" s="83">
        <v>33</v>
      </c>
      <c r="G116" s="83">
        <v>35</v>
      </c>
      <c r="H116" s="83">
        <v>35</v>
      </c>
      <c r="I116" s="83">
        <v>33</v>
      </c>
      <c r="J116" s="83">
        <v>30</v>
      </c>
      <c r="K116" s="83">
        <v>32</v>
      </c>
      <c r="L116" s="83">
        <v>32</v>
      </c>
      <c r="M116" s="83">
        <v>47</v>
      </c>
      <c r="N116" s="83">
        <v>97</v>
      </c>
      <c r="O116" s="83">
        <v>93</v>
      </c>
      <c r="P116" s="83">
        <v>101</v>
      </c>
      <c r="Q116" s="83">
        <v>107</v>
      </c>
      <c r="R116" s="83">
        <v>104</v>
      </c>
      <c r="S116" s="83">
        <v>118</v>
      </c>
      <c r="T116" s="83">
        <v>126</v>
      </c>
      <c r="U116" s="83">
        <v>117</v>
      </c>
      <c r="V116" s="83">
        <v>117</v>
      </c>
      <c r="W116" s="83">
        <v>115</v>
      </c>
      <c r="X116" s="83">
        <v>111</v>
      </c>
      <c r="Y116" s="83">
        <v>113</v>
      </c>
      <c r="Z116" s="83">
        <v>118</v>
      </c>
      <c r="AA116" s="83">
        <v>117</v>
      </c>
      <c r="AB116" s="83">
        <v>112</v>
      </c>
      <c r="AC116" s="83">
        <v>114</v>
      </c>
      <c r="AD116" s="83">
        <v>109</v>
      </c>
      <c r="AE116" s="83">
        <v>116</v>
      </c>
      <c r="AF116" s="83">
        <v>114</v>
      </c>
      <c r="AG116" s="83">
        <v>108</v>
      </c>
      <c r="AH116" s="83">
        <v>104</v>
      </c>
      <c r="AI116" s="83">
        <v>110</v>
      </c>
      <c r="AJ116" s="83">
        <v>107</v>
      </c>
      <c r="AK116" s="83">
        <v>108</v>
      </c>
      <c r="AL116" s="83">
        <v>109</v>
      </c>
      <c r="AM116" s="83">
        <v>103</v>
      </c>
      <c r="AN116" s="83">
        <v>104</v>
      </c>
      <c r="AO116" s="83">
        <v>104</v>
      </c>
      <c r="AP116" s="83">
        <v>103</v>
      </c>
      <c r="AQ116" s="83">
        <v>105</v>
      </c>
      <c r="AR116" s="83">
        <v>96</v>
      </c>
      <c r="AS116" s="83">
        <v>90</v>
      </c>
      <c r="AT116" s="83">
        <v>88</v>
      </c>
      <c r="AU116" s="83">
        <v>87</v>
      </c>
      <c r="AV116" s="83">
        <v>85</v>
      </c>
      <c r="AW116" s="83">
        <v>82</v>
      </c>
    </row>
    <row r="117" spans="1:49" x14ac:dyDescent="0.15">
      <c r="A117" s="83">
        <v>20210217</v>
      </c>
      <c r="B117" s="83">
        <v>54</v>
      </c>
      <c r="C117" s="83">
        <v>38</v>
      </c>
      <c r="D117" s="83">
        <v>36</v>
      </c>
      <c r="E117" s="83">
        <v>31</v>
      </c>
      <c r="F117" s="83">
        <v>33</v>
      </c>
      <c r="G117" s="83">
        <v>35</v>
      </c>
      <c r="H117" s="83">
        <v>34</v>
      </c>
      <c r="I117" s="83">
        <v>32</v>
      </c>
      <c r="J117" s="83">
        <v>30</v>
      </c>
      <c r="K117" s="83">
        <v>30</v>
      </c>
      <c r="L117" s="83">
        <v>33</v>
      </c>
      <c r="M117" s="83">
        <v>73</v>
      </c>
      <c r="N117" s="83">
        <v>94</v>
      </c>
      <c r="O117" s="83">
        <v>92</v>
      </c>
      <c r="P117" s="83">
        <v>94</v>
      </c>
      <c r="Q117" s="83">
        <v>106</v>
      </c>
      <c r="R117" s="83">
        <v>101</v>
      </c>
      <c r="S117" s="83">
        <v>112</v>
      </c>
      <c r="T117" s="83">
        <v>121</v>
      </c>
      <c r="U117" s="83">
        <v>113</v>
      </c>
      <c r="V117" s="83">
        <v>109</v>
      </c>
      <c r="W117" s="83">
        <v>111</v>
      </c>
      <c r="X117" s="83">
        <v>109</v>
      </c>
      <c r="Y117" s="83">
        <v>113</v>
      </c>
      <c r="Z117" s="83">
        <v>116</v>
      </c>
      <c r="AA117" s="83">
        <v>116</v>
      </c>
      <c r="AB117" s="83">
        <v>112</v>
      </c>
      <c r="AC117" s="83">
        <v>110</v>
      </c>
      <c r="AD117" s="83">
        <v>109</v>
      </c>
      <c r="AE117" s="83">
        <v>113</v>
      </c>
      <c r="AF117" s="83">
        <v>109</v>
      </c>
      <c r="AG117" s="83">
        <v>104</v>
      </c>
      <c r="AH117" s="83">
        <v>98</v>
      </c>
      <c r="AI117" s="83">
        <v>100</v>
      </c>
      <c r="AJ117" s="83">
        <v>101</v>
      </c>
      <c r="AK117" s="83">
        <v>92</v>
      </c>
      <c r="AL117" s="83">
        <v>93</v>
      </c>
      <c r="AM117" s="83">
        <v>99</v>
      </c>
      <c r="AN117" s="83">
        <v>95</v>
      </c>
      <c r="AO117" s="83">
        <v>92</v>
      </c>
      <c r="AP117" s="83">
        <v>90</v>
      </c>
      <c r="AQ117" s="83">
        <v>93</v>
      </c>
      <c r="AR117" s="83">
        <v>92</v>
      </c>
      <c r="AS117" s="83">
        <v>87</v>
      </c>
      <c r="AT117" s="83">
        <v>84</v>
      </c>
      <c r="AU117" s="83">
        <v>84</v>
      </c>
      <c r="AV117" s="83">
        <v>82</v>
      </c>
      <c r="AW117" s="83">
        <v>80</v>
      </c>
    </row>
    <row r="118" spans="1:49" x14ac:dyDescent="0.15">
      <c r="A118" s="83">
        <v>20210218</v>
      </c>
      <c r="B118" s="83">
        <v>55</v>
      </c>
      <c r="C118" s="83">
        <v>36</v>
      </c>
      <c r="D118" s="83">
        <v>36</v>
      </c>
      <c r="E118" s="83">
        <v>30</v>
      </c>
      <c r="F118" s="83">
        <v>32</v>
      </c>
      <c r="G118" s="83">
        <v>34</v>
      </c>
      <c r="H118" s="83">
        <v>34</v>
      </c>
      <c r="I118" s="83">
        <v>32</v>
      </c>
      <c r="J118" s="83">
        <v>29</v>
      </c>
      <c r="K118" s="83">
        <v>29</v>
      </c>
      <c r="L118" s="83">
        <v>32</v>
      </c>
      <c r="M118" s="83">
        <v>51</v>
      </c>
      <c r="N118" s="83">
        <v>85</v>
      </c>
      <c r="O118" s="83">
        <v>88</v>
      </c>
      <c r="P118" s="83">
        <v>96</v>
      </c>
      <c r="Q118" s="83">
        <v>102</v>
      </c>
      <c r="R118" s="83">
        <v>100</v>
      </c>
      <c r="S118" s="83">
        <v>120</v>
      </c>
      <c r="T118" s="83">
        <v>127</v>
      </c>
      <c r="U118" s="83">
        <v>121</v>
      </c>
      <c r="V118" s="83">
        <v>116</v>
      </c>
      <c r="W118" s="83">
        <v>113</v>
      </c>
      <c r="X118" s="83">
        <v>116</v>
      </c>
      <c r="Y118" s="83">
        <v>113</v>
      </c>
      <c r="Z118" s="83">
        <v>123</v>
      </c>
      <c r="AA118" s="83">
        <v>124</v>
      </c>
      <c r="AB118" s="83">
        <v>116</v>
      </c>
      <c r="AC118" s="83">
        <v>113</v>
      </c>
      <c r="AD118" s="83">
        <v>111</v>
      </c>
      <c r="AE118" s="83">
        <v>118</v>
      </c>
      <c r="AF118" s="83">
        <v>114</v>
      </c>
      <c r="AG118" s="83">
        <v>113</v>
      </c>
      <c r="AH118" s="83">
        <v>106</v>
      </c>
      <c r="AI118" s="83">
        <v>102</v>
      </c>
      <c r="AJ118" s="83">
        <v>104</v>
      </c>
      <c r="AK118" s="83">
        <v>106</v>
      </c>
      <c r="AL118" s="83">
        <v>110</v>
      </c>
      <c r="AM118" s="83">
        <v>116</v>
      </c>
      <c r="AN118" s="83">
        <v>102</v>
      </c>
      <c r="AO118" s="83">
        <v>100</v>
      </c>
      <c r="AP118" s="83">
        <v>96</v>
      </c>
      <c r="AQ118" s="83">
        <v>96</v>
      </c>
      <c r="AR118" s="83">
        <v>94</v>
      </c>
      <c r="AS118" s="83">
        <v>89</v>
      </c>
      <c r="AT118" s="83">
        <v>85</v>
      </c>
      <c r="AU118" s="83">
        <v>80</v>
      </c>
      <c r="AV118" s="83">
        <v>82</v>
      </c>
      <c r="AW118" s="83">
        <v>81</v>
      </c>
    </row>
    <row r="119" spans="1:49" x14ac:dyDescent="0.15">
      <c r="A119" s="83">
        <v>20210219</v>
      </c>
      <c r="B119" s="83">
        <v>50</v>
      </c>
      <c r="C119" s="83">
        <v>38</v>
      </c>
      <c r="D119" s="83">
        <v>36</v>
      </c>
      <c r="E119" s="83">
        <v>30</v>
      </c>
      <c r="F119" s="83">
        <v>33</v>
      </c>
      <c r="G119" s="83">
        <v>35</v>
      </c>
      <c r="H119" s="83">
        <v>34</v>
      </c>
      <c r="I119" s="83">
        <v>32</v>
      </c>
      <c r="J119" s="83">
        <v>29</v>
      </c>
      <c r="K119" s="83">
        <v>30</v>
      </c>
      <c r="L119" s="83">
        <v>34</v>
      </c>
      <c r="M119" s="83">
        <v>45</v>
      </c>
      <c r="N119" s="83">
        <v>93</v>
      </c>
      <c r="O119" s="83">
        <v>85</v>
      </c>
      <c r="P119" s="83">
        <v>103</v>
      </c>
      <c r="Q119" s="83">
        <v>107</v>
      </c>
      <c r="R119" s="83">
        <v>106</v>
      </c>
      <c r="S119" s="83">
        <v>114</v>
      </c>
      <c r="T119" s="83">
        <v>122</v>
      </c>
      <c r="U119" s="83">
        <v>119</v>
      </c>
      <c r="V119" s="83">
        <v>115</v>
      </c>
      <c r="W119" s="83">
        <v>118</v>
      </c>
      <c r="X119" s="83">
        <v>112</v>
      </c>
      <c r="Y119" s="83">
        <v>111</v>
      </c>
      <c r="Z119" s="83">
        <v>120</v>
      </c>
      <c r="AA119" s="83">
        <v>121</v>
      </c>
      <c r="AB119" s="83">
        <v>112</v>
      </c>
      <c r="AC119" s="83">
        <v>116</v>
      </c>
      <c r="AD119" s="83">
        <v>107</v>
      </c>
      <c r="AE119" s="83">
        <v>121</v>
      </c>
      <c r="AF119" s="83">
        <v>113</v>
      </c>
      <c r="AG119" s="83">
        <v>111</v>
      </c>
      <c r="AH119" s="83">
        <v>106</v>
      </c>
      <c r="AI119" s="83">
        <v>108</v>
      </c>
      <c r="AJ119" s="83">
        <v>117</v>
      </c>
      <c r="AK119" s="83">
        <v>113</v>
      </c>
      <c r="AL119" s="83">
        <v>111</v>
      </c>
      <c r="AM119" s="83">
        <v>115</v>
      </c>
      <c r="AN119" s="83">
        <v>111</v>
      </c>
      <c r="AO119" s="83">
        <v>109</v>
      </c>
      <c r="AP119" s="83">
        <v>98</v>
      </c>
      <c r="AQ119" s="83">
        <v>102</v>
      </c>
      <c r="AR119" s="83">
        <v>96</v>
      </c>
      <c r="AS119" s="83">
        <v>96</v>
      </c>
      <c r="AT119" s="83">
        <v>89</v>
      </c>
      <c r="AU119" s="83">
        <v>91</v>
      </c>
      <c r="AV119" s="83">
        <v>89</v>
      </c>
      <c r="AW119" s="83">
        <v>89</v>
      </c>
    </row>
    <row r="120" spans="1:49" x14ac:dyDescent="0.15">
      <c r="A120" s="83">
        <v>20210220</v>
      </c>
      <c r="B120" s="83">
        <v>56</v>
      </c>
      <c r="C120" s="83">
        <v>40</v>
      </c>
      <c r="D120" s="83">
        <v>37</v>
      </c>
      <c r="E120" s="83">
        <v>33</v>
      </c>
      <c r="F120" s="83">
        <v>33</v>
      </c>
      <c r="G120" s="83">
        <v>36</v>
      </c>
      <c r="H120" s="83">
        <v>35</v>
      </c>
      <c r="I120" s="83">
        <v>32</v>
      </c>
      <c r="J120" s="83">
        <v>30</v>
      </c>
      <c r="K120" s="83">
        <v>30</v>
      </c>
      <c r="L120" s="83">
        <v>33</v>
      </c>
      <c r="M120" s="83">
        <v>45</v>
      </c>
      <c r="N120" s="83">
        <v>90</v>
      </c>
      <c r="O120" s="83">
        <v>83</v>
      </c>
      <c r="P120" s="83">
        <v>101</v>
      </c>
      <c r="Q120" s="83">
        <v>104</v>
      </c>
      <c r="R120" s="83">
        <v>107</v>
      </c>
      <c r="S120" s="83">
        <v>118</v>
      </c>
      <c r="T120" s="83">
        <v>124</v>
      </c>
      <c r="U120" s="83">
        <v>115</v>
      </c>
      <c r="V120" s="83">
        <v>114</v>
      </c>
      <c r="W120" s="83">
        <v>120</v>
      </c>
      <c r="X120" s="83">
        <v>114</v>
      </c>
      <c r="Y120" s="83">
        <v>120</v>
      </c>
      <c r="Z120" s="83">
        <v>121</v>
      </c>
      <c r="AA120" s="83">
        <v>118</v>
      </c>
      <c r="AB120" s="83">
        <v>118</v>
      </c>
      <c r="AC120" s="83">
        <v>118</v>
      </c>
      <c r="AD120" s="83">
        <v>114</v>
      </c>
      <c r="AE120" s="83">
        <v>120</v>
      </c>
      <c r="AF120" s="83">
        <v>120</v>
      </c>
      <c r="AG120" s="83">
        <v>112</v>
      </c>
      <c r="AH120" s="83">
        <v>112</v>
      </c>
      <c r="AI120" s="83">
        <v>110</v>
      </c>
      <c r="AJ120" s="83">
        <v>106</v>
      </c>
      <c r="AK120" s="83">
        <v>110</v>
      </c>
      <c r="AL120" s="83">
        <v>108</v>
      </c>
      <c r="AM120" s="83">
        <v>116</v>
      </c>
      <c r="AN120" s="83">
        <v>107</v>
      </c>
      <c r="AO120" s="83">
        <v>113</v>
      </c>
      <c r="AP120" s="83">
        <v>105</v>
      </c>
      <c r="AQ120" s="83">
        <v>110</v>
      </c>
      <c r="AR120" s="83">
        <v>102</v>
      </c>
      <c r="AS120" s="83">
        <v>96</v>
      </c>
      <c r="AT120" s="83">
        <v>92</v>
      </c>
      <c r="AU120" s="83">
        <v>88</v>
      </c>
      <c r="AV120" s="83">
        <v>87</v>
      </c>
      <c r="AW120" s="83">
        <v>85</v>
      </c>
    </row>
    <row r="121" spans="1:49" x14ac:dyDescent="0.15">
      <c r="A121" s="83">
        <v>20210221</v>
      </c>
      <c r="B121" s="83">
        <v>55</v>
      </c>
      <c r="C121" s="83">
        <v>40</v>
      </c>
      <c r="D121" s="83">
        <v>38</v>
      </c>
      <c r="E121" s="83">
        <v>35</v>
      </c>
      <c r="F121" s="83">
        <v>34</v>
      </c>
      <c r="G121" s="83">
        <v>38</v>
      </c>
      <c r="H121" s="83">
        <v>36</v>
      </c>
      <c r="I121" s="83">
        <v>33</v>
      </c>
      <c r="J121" s="83">
        <v>32</v>
      </c>
      <c r="K121" s="83">
        <v>32</v>
      </c>
      <c r="L121" s="83">
        <v>36</v>
      </c>
      <c r="M121" s="83">
        <v>46</v>
      </c>
      <c r="N121" s="83">
        <v>97</v>
      </c>
      <c r="O121" s="83">
        <v>100</v>
      </c>
      <c r="P121" s="83">
        <v>105</v>
      </c>
      <c r="Q121" s="83">
        <v>106</v>
      </c>
      <c r="R121" s="83">
        <v>110</v>
      </c>
      <c r="S121" s="83">
        <v>121</v>
      </c>
      <c r="T121" s="83">
        <v>132</v>
      </c>
      <c r="U121" s="83">
        <v>123</v>
      </c>
      <c r="V121" s="83">
        <v>123</v>
      </c>
      <c r="W121" s="83">
        <v>120</v>
      </c>
      <c r="X121" s="83">
        <v>126</v>
      </c>
      <c r="Y121" s="83">
        <v>121</v>
      </c>
      <c r="Z121" s="83">
        <v>118</v>
      </c>
      <c r="AA121" s="83">
        <v>128</v>
      </c>
      <c r="AB121" s="83">
        <v>118</v>
      </c>
      <c r="AC121" s="83">
        <v>118</v>
      </c>
      <c r="AD121" s="83">
        <v>117</v>
      </c>
      <c r="AE121" s="83">
        <v>127</v>
      </c>
      <c r="AF121" s="83">
        <v>118</v>
      </c>
      <c r="AG121" s="83">
        <v>121</v>
      </c>
      <c r="AH121" s="83">
        <v>114</v>
      </c>
      <c r="AI121" s="83">
        <v>108</v>
      </c>
      <c r="AJ121" s="83">
        <v>110</v>
      </c>
      <c r="AK121" s="83">
        <v>108</v>
      </c>
      <c r="AL121" s="83">
        <v>108</v>
      </c>
      <c r="AM121" s="83">
        <v>115</v>
      </c>
      <c r="AN121" s="83">
        <v>108</v>
      </c>
      <c r="AO121" s="83">
        <v>106</v>
      </c>
      <c r="AP121" s="83">
        <v>106</v>
      </c>
      <c r="AQ121" s="83">
        <v>110</v>
      </c>
      <c r="AR121" s="83">
        <v>105</v>
      </c>
      <c r="AS121" s="83">
        <v>100</v>
      </c>
      <c r="AT121" s="83">
        <v>95</v>
      </c>
      <c r="AU121" s="83">
        <v>93</v>
      </c>
      <c r="AV121" s="83">
        <v>91</v>
      </c>
      <c r="AW121" s="83">
        <v>89</v>
      </c>
    </row>
    <row r="122" spans="1:49" x14ac:dyDescent="0.15">
      <c r="A122" s="83">
        <v>20210222</v>
      </c>
      <c r="B122" s="83">
        <v>53</v>
      </c>
      <c r="C122" s="83">
        <v>39</v>
      </c>
      <c r="D122" s="83">
        <v>39</v>
      </c>
      <c r="E122" s="83">
        <v>35</v>
      </c>
      <c r="F122" s="83">
        <v>35</v>
      </c>
      <c r="G122" s="83">
        <v>38</v>
      </c>
      <c r="H122" s="83">
        <v>37</v>
      </c>
      <c r="I122" s="83">
        <v>36</v>
      </c>
      <c r="J122" s="83">
        <v>32</v>
      </c>
      <c r="K122" s="83">
        <v>32</v>
      </c>
      <c r="L122" s="83">
        <v>33</v>
      </c>
      <c r="M122" s="83">
        <v>67</v>
      </c>
      <c r="N122" s="83">
        <v>81</v>
      </c>
      <c r="O122" s="83">
        <v>95</v>
      </c>
      <c r="P122" s="83">
        <v>100</v>
      </c>
      <c r="Q122" s="83">
        <v>111</v>
      </c>
      <c r="R122" s="83">
        <v>104</v>
      </c>
      <c r="S122" s="83">
        <v>116</v>
      </c>
      <c r="T122" s="83">
        <v>128</v>
      </c>
      <c r="U122" s="83">
        <v>128</v>
      </c>
      <c r="V122" s="83">
        <v>119</v>
      </c>
      <c r="W122" s="83">
        <v>120</v>
      </c>
      <c r="X122" s="83">
        <v>117</v>
      </c>
      <c r="Y122" s="83">
        <v>122</v>
      </c>
      <c r="Z122" s="83">
        <v>121</v>
      </c>
      <c r="AA122" s="83">
        <v>125</v>
      </c>
      <c r="AB122" s="83">
        <v>117</v>
      </c>
      <c r="AC122" s="83">
        <v>118</v>
      </c>
      <c r="AD122" s="83">
        <v>119</v>
      </c>
      <c r="AE122" s="83">
        <v>130</v>
      </c>
      <c r="AF122" s="83">
        <v>119</v>
      </c>
      <c r="AG122" s="83">
        <v>118</v>
      </c>
      <c r="AH122" s="83">
        <v>110</v>
      </c>
      <c r="AI122" s="83">
        <v>106</v>
      </c>
      <c r="AJ122" s="83">
        <v>106</v>
      </c>
      <c r="AK122" s="83">
        <v>107</v>
      </c>
      <c r="AL122" s="83">
        <v>103</v>
      </c>
      <c r="AM122" s="83">
        <v>108</v>
      </c>
      <c r="AN122" s="83">
        <v>109</v>
      </c>
      <c r="AO122" s="83">
        <v>111</v>
      </c>
      <c r="AP122" s="83">
        <v>106</v>
      </c>
      <c r="AQ122" s="83">
        <v>108</v>
      </c>
      <c r="AR122" s="83">
        <v>106</v>
      </c>
      <c r="AS122" s="83">
        <v>101</v>
      </c>
      <c r="AT122" s="83">
        <v>96</v>
      </c>
      <c r="AU122" s="83">
        <v>93</v>
      </c>
      <c r="AV122" s="83">
        <v>92</v>
      </c>
      <c r="AW122" s="83">
        <v>89</v>
      </c>
    </row>
    <row r="123" spans="1:49" x14ac:dyDescent="0.15">
      <c r="A123" s="83">
        <v>20210223</v>
      </c>
      <c r="B123" s="83">
        <v>58</v>
      </c>
      <c r="C123" s="83">
        <v>42</v>
      </c>
      <c r="D123" s="83">
        <v>40</v>
      </c>
      <c r="E123" s="83">
        <v>36</v>
      </c>
      <c r="F123" s="83">
        <v>38</v>
      </c>
      <c r="G123" s="83">
        <v>39</v>
      </c>
      <c r="H123" s="83">
        <v>40</v>
      </c>
      <c r="I123" s="83">
        <v>36</v>
      </c>
      <c r="J123" s="83">
        <v>34</v>
      </c>
      <c r="K123" s="83">
        <v>35</v>
      </c>
      <c r="L123" s="83">
        <v>35</v>
      </c>
      <c r="M123" s="83">
        <v>49</v>
      </c>
      <c r="N123" s="83">
        <v>94</v>
      </c>
      <c r="O123" s="83">
        <v>96</v>
      </c>
      <c r="P123" s="83">
        <v>107</v>
      </c>
      <c r="Q123" s="83">
        <v>117</v>
      </c>
      <c r="R123" s="83">
        <v>109</v>
      </c>
      <c r="S123" s="83">
        <v>122</v>
      </c>
      <c r="T123" s="83">
        <v>121</v>
      </c>
      <c r="U123" s="83">
        <v>118</v>
      </c>
      <c r="V123" s="83">
        <v>117</v>
      </c>
      <c r="W123" s="83">
        <v>115</v>
      </c>
      <c r="X123" s="83">
        <v>118</v>
      </c>
      <c r="Y123" s="83">
        <v>112</v>
      </c>
      <c r="Z123" s="83">
        <v>119</v>
      </c>
      <c r="AA123" s="83">
        <v>123</v>
      </c>
      <c r="AB123" s="83">
        <v>122</v>
      </c>
      <c r="AC123" s="83">
        <v>121</v>
      </c>
      <c r="AD123" s="83">
        <v>112</v>
      </c>
      <c r="AE123" s="83">
        <v>119</v>
      </c>
      <c r="AF123" s="83">
        <v>121</v>
      </c>
      <c r="AG123" s="83">
        <v>114</v>
      </c>
      <c r="AH123" s="83">
        <v>110</v>
      </c>
      <c r="AI123" s="83">
        <v>112</v>
      </c>
      <c r="AJ123" s="83">
        <v>109</v>
      </c>
      <c r="AK123" s="83">
        <v>108</v>
      </c>
      <c r="AL123" s="83">
        <v>109</v>
      </c>
      <c r="AM123" s="83">
        <v>116</v>
      </c>
      <c r="AN123" s="83">
        <v>104</v>
      </c>
      <c r="AO123" s="83">
        <v>114</v>
      </c>
      <c r="AP123" s="83">
        <v>103</v>
      </c>
      <c r="AQ123" s="83">
        <v>105</v>
      </c>
      <c r="AR123" s="83">
        <v>99</v>
      </c>
      <c r="AS123" s="83">
        <v>96</v>
      </c>
      <c r="AT123" s="83">
        <v>90</v>
      </c>
      <c r="AU123" s="83">
        <v>91</v>
      </c>
      <c r="AV123" s="83">
        <v>90</v>
      </c>
      <c r="AW123" s="83">
        <v>88</v>
      </c>
    </row>
    <row r="124" spans="1:49" x14ac:dyDescent="0.15">
      <c r="A124" s="83">
        <v>20210224</v>
      </c>
      <c r="B124" s="83">
        <v>54</v>
      </c>
      <c r="C124" s="83">
        <v>37</v>
      </c>
      <c r="D124" s="83">
        <v>36</v>
      </c>
      <c r="E124" s="83">
        <v>32</v>
      </c>
      <c r="F124" s="83">
        <v>32</v>
      </c>
      <c r="G124" s="83">
        <v>35</v>
      </c>
      <c r="H124" s="83">
        <v>33</v>
      </c>
      <c r="I124" s="83">
        <v>32</v>
      </c>
      <c r="J124" s="83">
        <v>29</v>
      </c>
      <c r="K124" s="83">
        <v>30</v>
      </c>
      <c r="L124" s="83">
        <v>32</v>
      </c>
      <c r="M124" s="83">
        <v>56</v>
      </c>
      <c r="N124" s="83">
        <v>86</v>
      </c>
      <c r="O124" s="83">
        <v>96</v>
      </c>
      <c r="P124" s="83">
        <v>97</v>
      </c>
      <c r="Q124" s="83">
        <v>103</v>
      </c>
      <c r="R124" s="83">
        <v>108</v>
      </c>
      <c r="S124" s="83">
        <v>116</v>
      </c>
      <c r="T124" s="83">
        <v>135</v>
      </c>
      <c r="U124" s="83">
        <v>124</v>
      </c>
      <c r="V124" s="83">
        <v>115</v>
      </c>
      <c r="W124" s="83">
        <v>115</v>
      </c>
      <c r="X124" s="83">
        <v>115</v>
      </c>
      <c r="Y124" s="83">
        <v>125</v>
      </c>
      <c r="Z124" s="83">
        <v>117</v>
      </c>
      <c r="AA124" s="83">
        <v>118</v>
      </c>
      <c r="AB124" s="83">
        <v>118</v>
      </c>
      <c r="AC124" s="83">
        <v>120</v>
      </c>
      <c r="AD124" s="83">
        <v>113</v>
      </c>
      <c r="AE124" s="83">
        <v>121</v>
      </c>
      <c r="AF124" s="83">
        <v>120</v>
      </c>
      <c r="AG124" s="83">
        <v>116</v>
      </c>
      <c r="AH124" s="83">
        <v>108</v>
      </c>
      <c r="AI124" s="83">
        <v>109</v>
      </c>
      <c r="AJ124" s="83">
        <v>109</v>
      </c>
      <c r="AK124" s="83">
        <v>112</v>
      </c>
      <c r="AL124" s="83">
        <v>112</v>
      </c>
      <c r="AM124" s="83">
        <v>115</v>
      </c>
      <c r="AN124" s="83">
        <v>109</v>
      </c>
      <c r="AO124" s="83">
        <v>109</v>
      </c>
      <c r="AP124" s="83">
        <v>99</v>
      </c>
      <c r="AQ124" s="83">
        <v>104</v>
      </c>
      <c r="AR124" s="83">
        <v>101</v>
      </c>
      <c r="AS124" s="83">
        <v>97</v>
      </c>
      <c r="AT124" s="83">
        <v>93</v>
      </c>
      <c r="AU124" s="83">
        <v>91</v>
      </c>
      <c r="AV124" s="83">
        <v>88</v>
      </c>
      <c r="AW124" s="83">
        <v>84</v>
      </c>
    </row>
    <row r="125" spans="1:49" x14ac:dyDescent="0.15">
      <c r="A125" s="83">
        <v>20210225</v>
      </c>
      <c r="B125" s="83">
        <v>51</v>
      </c>
      <c r="C125" s="83">
        <v>37</v>
      </c>
      <c r="D125" s="83">
        <v>37</v>
      </c>
      <c r="E125" s="83">
        <v>33</v>
      </c>
      <c r="F125" s="83">
        <v>34</v>
      </c>
      <c r="G125" s="83">
        <v>35</v>
      </c>
      <c r="H125" s="83">
        <v>33</v>
      </c>
      <c r="I125" s="83">
        <v>32</v>
      </c>
      <c r="J125" s="83">
        <v>29</v>
      </c>
      <c r="K125" s="83">
        <v>30</v>
      </c>
      <c r="L125" s="83">
        <v>32</v>
      </c>
      <c r="M125" s="83">
        <v>61</v>
      </c>
      <c r="N125" s="83">
        <v>85</v>
      </c>
      <c r="O125" s="83">
        <v>86</v>
      </c>
      <c r="P125" s="83">
        <v>99</v>
      </c>
      <c r="Q125" s="83">
        <v>110</v>
      </c>
      <c r="R125" s="83">
        <v>106</v>
      </c>
      <c r="S125" s="83">
        <v>119</v>
      </c>
      <c r="T125" s="83">
        <v>127</v>
      </c>
      <c r="U125" s="83">
        <v>124</v>
      </c>
      <c r="V125" s="83">
        <v>117</v>
      </c>
      <c r="W125" s="83">
        <v>118</v>
      </c>
      <c r="X125" s="83">
        <v>112</v>
      </c>
      <c r="Y125" s="83">
        <v>117</v>
      </c>
      <c r="Z125" s="83">
        <v>121</v>
      </c>
      <c r="AA125" s="83">
        <v>118</v>
      </c>
      <c r="AB125" s="83">
        <v>114</v>
      </c>
      <c r="AC125" s="83">
        <v>118</v>
      </c>
      <c r="AD125" s="83">
        <v>111</v>
      </c>
      <c r="AE125" s="83">
        <v>121</v>
      </c>
      <c r="AF125" s="83">
        <v>115</v>
      </c>
      <c r="AG125" s="83">
        <v>110</v>
      </c>
      <c r="AH125" s="83">
        <v>107</v>
      </c>
      <c r="AI125" s="83">
        <v>107</v>
      </c>
      <c r="AJ125" s="83">
        <v>107</v>
      </c>
      <c r="AK125" s="83">
        <v>110</v>
      </c>
      <c r="AL125" s="83">
        <v>106</v>
      </c>
      <c r="AM125" s="83">
        <v>109</v>
      </c>
      <c r="AN125" s="83">
        <v>107</v>
      </c>
      <c r="AO125" s="83">
        <v>109</v>
      </c>
      <c r="AP125" s="83">
        <v>99</v>
      </c>
      <c r="AQ125" s="83">
        <v>103</v>
      </c>
      <c r="AR125" s="83">
        <v>96</v>
      </c>
      <c r="AS125" s="83">
        <v>92</v>
      </c>
      <c r="AT125" s="83">
        <v>88</v>
      </c>
      <c r="AU125" s="83">
        <v>89</v>
      </c>
      <c r="AV125" s="83">
        <v>87</v>
      </c>
      <c r="AW125" s="83">
        <v>87</v>
      </c>
    </row>
    <row r="126" spans="1:49" x14ac:dyDescent="0.15">
      <c r="A126" s="83">
        <v>20210226</v>
      </c>
      <c r="B126" s="83">
        <v>54</v>
      </c>
      <c r="C126" s="83">
        <v>37</v>
      </c>
      <c r="D126" s="83">
        <v>37</v>
      </c>
      <c r="E126" s="83">
        <v>33</v>
      </c>
      <c r="F126" s="83">
        <v>33</v>
      </c>
      <c r="G126" s="83">
        <v>37</v>
      </c>
      <c r="H126" s="83">
        <v>36</v>
      </c>
      <c r="I126" s="83">
        <v>32</v>
      </c>
      <c r="J126" s="83">
        <v>31</v>
      </c>
      <c r="K126" s="83">
        <v>30</v>
      </c>
      <c r="L126" s="83">
        <v>31</v>
      </c>
      <c r="M126" s="83">
        <v>37</v>
      </c>
      <c r="N126" s="83">
        <v>85</v>
      </c>
      <c r="O126" s="83">
        <v>79</v>
      </c>
      <c r="P126" s="83">
        <v>84</v>
      </c>
      <c r="Q126" s="83">
        <v>93</v>
      </c>
      <c r="R126" s="83">
        <v>93</v>
      </c>
      <c r="S126" s="83">
        <v>104</v>
      </c>
      <c r="T126" s="83">
        <v>124</v>
      </c>
      <c r="U126" s="83">
        <v>123</v>
      </c>
      <c r="V126" s="83">
        <v>119</v>
      </c>
      <c r="W126" s="83">
        <v>114</v>
      </c>
      <c r="X126" s="83">
        <v>118</v>
      </c>
      <c r="Y126" s="83">
        <v>116</v>
      </c>
      <c r="Z126" s="83">
        <v>118</v>
      </c>
      <c r="AA126" s="83">
        <v>119</v>
      </c>
      <c r="AB126" s="83">
        <v>120</v>
      </c>
      <c r="AC126" s="83">
        <v>119</v>
      </c>
      <c r="AD126" s="83">
        <v>112</v>
      </c>
      <c r="AE126" s="83">
        <v>120</v>
      </c>
      <c r="AF126" s="83">
        <v>110</v>
      </c>
      <c r="AG126" s="83">
        <v>112</v>
      </c>
      <c r="AH126" s="83">
        <v>106</v>
      </c>
      <c r="AI126" s="83">
        <v>105</v>
      </c>
      <c r="AJ126" s="83">
        <v>109</v>
      </c>
      <c r="AK126" s="83">
        <v>111</v>
      </c>
      <c r="AL126" s="83">
        <v>111</v>
      </c>
      <c r="AM126" s="83">
        <v>108</v>
      </c>
      <c r="AN126" s="83">
        <v>113</v>
      </c>
      <c r="AO126" s="83">
        <v>109</v>
      </c>
      <c r="AP126" s="83">
        <v>101</v>
      </c>
      <c r="AQ126" s="83">
        <v>102</v>
      </c>
      <c r="AR126" s="83">
        <v>99</v>
      </c>
      <c r="AS126" s="83">
        <v>97</v>
      </c>
      <c r="AT126" s="83">
        <v>93</v>
      </c>
      <c r="AU126" s="83">
        <v>91</v>
      </c>
      <c r="AV126" s="83">
        <v>93</v>
      </c>
      <c r="AW126" s="83">
        <v>85</v>
      </c>
    </row>
    <row r="127" spans="1:49" x14ac:dyDescent="0.15">
      <c r="A127" s="83">
        <v>20210227</v>
      </c>
      <c r="B127" s="83">
        <v>54</v>
      </c>
      <c r="C127" s="83">
        <v>38</v>
      </c>
      <c r="D127" s="83">
        <v>36</v>
      </c>
      <c r="E127" s="83">
        <v>32</v>
      </c>
      <c r="F127" s="83">
        <v>33</v>
      </c>
      <c r="G127" s="83">
        <v>34</v>
      </c>
      <c r="H127" s="83">
        <v>33</v>
      </c>
      <c r="I127" s="83">
        <v>32</v>
      </c>
      <c r="J127" s="83">
        <v>30</v>
      </c>
      <c r="K127" s="83">
        <v>30</v>
      </c>
      <c r="L127" s="83">
        <v>30</v>
      </c>
      <c r="M127" s="83">
        <v>74</v>
      </c>
      <c r="N127" s="83">
        <v>85</v>
      </c>
      <c r="O127" s="83">
        <v>99</v>
      </c>
      <c r="P127" s="83">
        <v>105</v>
      </c>
      <c r="Q127" s="83">
        <v>109</v>
      </c>
      <c r="R127" s="83">
        <v>112</v>
      </c>
      <c r="S127" s="83">
        <v>123</v>
      </c>
      <c r="T127" s="83">
        <v>127</v>
      </c>
      <c r="U127" s="83">
        <v>128</v>
      </c>
      <c r="V127" s="83">
        <v>122</v>
      </c>
      <c r="W127" s="83">
        <v>116</v>
      </c>
      <c r="X127" s="83">
        <v>125</v>
      </c>
      <c r="Y127" s="83">
        <v>124</v>
      </c>
      <c r="Z127" s="83">
        <v>124</v>
      </c>
      <c r="AA127" s="83">
        <v>127</v>
      </c>
      <c r="AB127" s="83">
        <v>123</v>
      </c>
      <c r="AC127" s="83">
        <v>121</v>
      </c>
      <c r="AD127" s="83">
        <v>116</v>
      </c>
      <c r="AE127" s="83">
        <v>118</v>
      </c>
      <c r="AF127" s="83">
        <v>118</v>
      </c>
      <c r="AG127" s="83">
        <v>115</v>
      </c>
      <c r="AH127" s="83">
        <v>108</v>
      </c>
      <c r="AI127" s="83">
        <v>108</v>
      </c>
      <c r="AJ127" s="83">
        <v>112</v>
      </c>
      <c r="AK127" s="83">
        <v>110</v>
      </c>
      <c r="AL127" s="83">
        <v>113</v>
      </c>
      <c r="AM127" s="83">
        <v>114</v>
      </c>
      <c r="AN127" s="83">
        <v>104</v>
      </c>
      <c r="AO127" s="83">
        <v>106</v>
      </c>
      <c r="AP127" s="83">
        <v>108</v>
      </c>
      <c r="AQ127" s="83">
        <v>109</v>
      </c>
      <c r="AR127" s="83">
        <v>106</v>
      </c>
      <c r="AS127" s="83">
        <v>95</v>
      </c>
      <c r="AT127" s="83">
        <v>88</v>
      </c>
      <c r="AU127" s="83">
        <v>88</v>
      </c>
      <c r="AV127" s="83">
        <v>89</v>
      </c>
      <c r="AW127" s="83">
        <v>83</v>
      </c>
    </row>
    <row r="128" spans="1:49" x14ac:dyDescent="0.15">
      <c r="A128" s="83">
        <v>20210228</v>
      </c>
      <c r="B128" s="83">
        <v>49</v>
      </c>
      <c r="C128" s="83">
        <v>37</v>
      </c>
      <c r="D128" s="83">
        <v>35</v>
      </c>
      <c r="E128" s="83">
        <v>31</v>
      </c>
      <c r="F128" s="83">
        <v>32</v>
      </c>
      <c r="G128" s="83">
        <v>35</v>
      </c>
      <c r="H128" s="83">
        <v>33</v>
      </c>
      <c r="I128" s="83">
        <v>32</v>
      </c>
      <c r="J128" s="83">
        <v>29</v>
      </c>
      <c r="K128" s="83">
        <v>29</v>
      </c>
      <c r="L128" s="83">
        <v>29</v>
      </c>
      <c r="M128" s="83">
        <v>69</v>
      </c>
      <c r="N128" s="83">
        <v>77</v>
      </c>
      <c r="O128" s="83">
        <v>82</v>
      </c>
      <c r="P128" s="83">
        <v>95</v>
      </c>
      <c r="Q128" s="83">
        <v>104</v>
      </c>
      <c r="R128" s="83">
        <v>104</v>
      </c>
      <c r="S128" s="83">
        <v>113</v>
      </c>
      <c r="T128" s="83">
        <v>129</v>
      </c>
      <c r="U128" s="83">
        <v>126</v>
      </c>
      <c r="V128" s="83">
        <v>125</v>
      </c>
      <c r="W128" s="83">
        <v>118</v>
      </c>
      <c r="X128" s="83">
        <v>125</v>
      </c>
      <c r="Y128" s="83">
        <v>120</v>
      </c>
      <c r="Z128" s="83">
        <v>118</v>
      </c>
      <c r="AA128" s="83">
        <v>127</v>
      </c>
      <c r="AB128" s="83">
        <v>119</v>
      </c>
      <c r="AC128" s="83">
        <v>117</v>
      </c>
      <c r="AD128" s="83">
        <v>117</v>
      </c>
      <c r="AE128" s="83">
        <v>124</v>
      </c>
      <c r="AF128" s="83">
        <v>118</v>
      </c>
      <c r="AG128" s="83">
        <v>114</v>
      </c>
      <c r="AH128" s="83">
        <v>108</v>
      </c>
      <c r="AI128" s="83">
        <v>107</v>
      </c>
      <c r="AJ128" s="83">
        <v>107</v>
      </c>
      <c r="AK128" s="83">
        <v>111</v>
      </c>
      <c r="AL128" s="83">
        <v>107</v>
      </c>
      <c r="AM128" s="83">
        <v>109</v>
      </c>
      <c r="AN128" s="83">
        <v>101</v>
      </c>
      <c r="AO128" s="83">
        <v>106</v>
      </c>
      <c r="AP128" s="83">
        <v>104</v>
      </c>
      <c r="AQ128" s="83">
        <v>109</v>
      </c>
      <c r="AR128" s="83">
        <v>104</v>
      </c>
      <c r="AS128" s="83">
        <v>102</v>
      </c>
      <c r="AT128" s="83">
        <v>95</v>
      </c>
      <c r="AU128" s="83">
        <v>94</v>
      </c>
      <c r="AV128" s="83">
        <v>88</v>
      </c>
      <c r="AW128" s="83">
        <v>91</v>
      </c>
    </row>
    <row r="129" spans="1:49" x14ac:dyDescent="0.15">
      <c r="A129" s="72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</row>
    <row r="130" spans="1:49" x14ac:dyDescent="0.15">
      <c r="A130" s="72"/>
      <c r="B130" s="65">
        <f>AVERAGE(B101:B129)</f>
        <v>53.75</v>
      </c>
      <c r="C130" s="65">
        <f t="shared" ref="C130:AW130" si="5">AVERAGE(C101:C129)</f>
        <v>38.5</v>
      </c>
      <c r="D130" s="65">
        <f t="shared" si="5"/>
        <v>36.607142857142854</v>
      </c>
      <c r="E130" s="65">
        <f t="shared" si="5"/>
        <v>32.678571428571431</v>
      </c>
      <c r="F130" s="65">
        <f t="shared" si="5"/>
        <v>33.642857142857146</v>
      </c>
      <c r="G130" s="65">
        <f t="shared" si="5"/>
        <v>36.107142857142854</v>
      </c>
      <c r="H130" s="65">
        <f t="shared" si="5"/>
        <v>34.928571428571431</v>
      </c>
      <c r="I130" s="65">
        <f t="shared" si="5"/>
        <v>32.75</v>
      </c>
      <c r="J130" s="65">
        <f t="shared" si="5"/>
        <v>30.107142857142858</v>
      </c>
      <c r="K130" s="65">
        <f t="shared" si="5"/>
        <v>30.857142857142858</v>
      </c>
      <c r="L130" s="65">
        <f t="shared" si="5"/>
        <v>33.5</v>
      </c>
      <c r="M130" s="65">
        <f t="shared" si="5"/>
        <v>52.428571428571431</v>
      </c>
      <c r="N130" s="65">
        <f t="shared" si="5"/>
        <v>88.75</v>
      </c>
      <c r="O130" s="65">
        <f t="shared" si="5"/>
        <v>88.964285714285708</v>
      </c>
      <c r="P130" s="65">
        <f t="shared" si="5"/>
        <v>99.107142857142861</v>
      </c>
      <c r="Q130" s="65">
        <f t="shared" si="5"/>
        <v>105.39285714285714</v>
      </c>
      <c r="R130" s="65">
        <f t="shared" si="5"/>
        <v>105.60714285714286</v>
      </c>
      <c r="S130" s="65">
        <f t="shared" si="5"/>
        <v>116.21428571428571</v>
      </c>
      <c r="T130" s="65">
        <f t="shared" si="5"/>
        <v>123.53571428571429</v>
      </c>
      <c r="U130" s="65">
        <f t="shared" si="5"/>
        <v>118.82142857142857</v>
      </c>
      <c r="V130" s="65">
        <f t="shared" si="5"/>
        <v>115.5</v>
      </c>
      <c r="W130" s="65">
        <f t="shared" si="5"/>
        <v>114.92857142857143</v>
      </c>
      <c r="X130" s="65">
        <f t="shared" si="5"/>
        <v>115.07142857142857</v>
      </c>
      <c r="Y130" s="65">
        <f t="shared" si="5"/>
        <v>115.17857142857143</v>
      </c>
      <c r="Z130" s="65">
        <f t="shared" si="5"/>
        <v>117.35714285714286</v>
      </c>
      <c r="AA130" s="65">
        <f t="shared" si="5"/>
        <v>118.67857142857143</v>
      </c>
      <c r="AB130" s="65">
        <f t="shared" si="5"/>
        <v>115.67857142857143</v>
      </c>
      <c r="AC130" s="65">
        <f t="shared" si="5"/>
        <v>114.89285714285714</v>
      </c>
      <c r="AD130" s="65">
        <f t="shared" si="5"/>
        <v>111.25</v>
      </c>
      <c r="AE130" s="65">
        <f t="shared" si="5"/>
        <v>118.28571428571429</v>
      </c>
      <c r="AF130" s="65">
        <f t="shared" si="5"/>
        <v>113.14285714285714</v>
      </c>
      <c r="AG130" s="65">
        <f t="shared" si="5"/>
        <v>110.64285714285714</v>
      </c>
      <c r="AH130" s="65">
        <f t="shared" si="5"/>
        <v>105.67857142857143</v>
      </c>
      <c r="AI130" s="65">
        <f t="shared" si="5"/>
        <v>105.03571428571429</v>
      </c>
      <c r="AJ130" s="65">
        <f t="shared" si="5"/>
        <v>105.64285714285714</v>
      </c>
      <c r="AK130" s="65">
        <f t="shared" si="5"/>
        <v>106.5</v>
      </c>
      <c r="AL130" s="65">
        <f t="shared" si="5"/>
        <v>105.35714285714286</v>
      </c>
      <c r="AM130" s="65">
        <f t="shared" si="5"/>
        <v>109.21428571428571</v>
      </c>
      <c r="AN130" s="65">
        <f t="shared" si="5"/>
        <v>103.96428571428571</v>
      </c>
      <c r="AO130" s="65">
        <f t="shared" si="5"/>
        <v>103.67857142857143</v>
      </c>
      <c r="AP130" s="65">
        <f t="shared" si="5"/>
        <v>99.107142857142861</v>
      </c>
      <c r="AQ130" s="65">
        <f t="shared" si="5"/>
        <v>101.89285714285714</v>
      </c>
      <c r="AR130" s="65">
        <f t="shared" si="5"/>
        <v>97.25</v>
      </c>
      <c r="AS130" s="65">
        <f t="shared" si="5"/>
        <v>92.464285714285708</v>
      </c>
      <c r="AT130" s="65">
        <f t="shared" si="5"/>
        <v>88</v>
      </c>
      <c r="AU130" s="65">
        <f t="shared" si="5"/>
        <v>87.321428571428569</v>
      </c>
      <c r="AV130" s="65">
        <f t="shared" si="5"/>
        <v>86.035714285714292</v>
      </c>
      <c r="AW130" s="65">
        <f t="shared" si="5"/>
        <v>83.928571428571431</v>
      </c>
    </row>
    <row r="131" spans="1:49" x14ac:dyDescent="0.15">
      <c r="A131" s="72"/>
      <c r="B131" s="173">
        <f>AVERAGE(B101:C130)</f>
        <v>46.125</v>
      </c>
      <c r="C131" s="173"/>
      <c r="D131" s="173">
        <f>AVERAGE(D101:E130)</f>
        <v>34.642857142857139</v>
      </c>
      <c r="E131" s="173"/>
      <c r="F131" s="173">
        <f>AVERAGE(F101:G130)</f>
        <v>34.875</v>
      </c>
      <c r="G131" s="173"/>
      <c r="H131" s="173">
        <f>AVERAGE(H101:I130)</f>
        <v>33.839285714285715</v>
      </c>
      <c r="I131" s="173"/>
      <c r="J131" s="173">
        <f>AVERAGE(J101:K130)</f>
        <v>30.482142857142858</v>
      </c>
      <c r="K131" s="173"/>
      <c r="L131" s="173">
        <f>AVERAGE(L101:M130)</f>
        <v>42.964285714285715</v>
      </c>
      <c r="M131" s="173"/>
      <c r="N131" s="173">
        <f>AVERAGE(N101:O130)</f>
        <v>88.857142857142847</v>
      </c>
      <c r="O131" s="173"/>
      <c r="P131" s="173">
        <f>AVERAGE(P101:Q130)</f>
        <v>102.25</v>
      </c>
      <c r="Q131" s="173"/>
      <c r="R131" s="173">
        <f>AVERAGE(R101:S130)</f>
        <v>110.91071428571428</v>
      </c>
      <c r="S131" s="173"/>
      <c r="T131" s="173">
        <f>AVERAGE(T101:U130)</f>
        <v>121.17857142857143</v>
      </c>
      <c r="U131" s="173"/>
      <c r="V131" s="173">
        <f>AVERAGE(V101:W130)</f>
        <v>115.21428571428572</v>
      </c>
      <c r="W131" s="173"/>
      <c r="X131" s="173">
        <f>AVERAGE(X101:Y130)</f>
        <v>115.125</v>
      </c>
      <c r="Y131" s="173"/>
      <c r="Z131" s="173">
        <f>AVERAGE(Z101:AA130)</f>
        <v>118.01785714285715</v>
      </c>
      <c r="AA131" s="173"/>
      <c r="AB131" s="173">
        <f>AVERAGE(AB101:AC130)</f>
        <v>115.28571428571428</v>
      </c>
      <c r="AC131" s="173"/>
      <c r="AD131" s="173">
        <f>AVERAGE(AD101:AE130)</f>
        <v>114.76785714285715</v>
      </c>
      <c r="AE131" s="173"/>
      <c r="AF131" s="173">
        <f>AVERAGE(AF101:AG130)</f>
        <v>111.89285714285714</v>
      </c>
      <c r="AG131" s="173"/>
      <c r="AH131" s="173">
        <f>AVERAGE(AH101:AI130)</f>
        <v>105.35714285714286</v>
      </c>
      <c r="AI131" s="173"/>
      <c r="AJ131" s="173">
        <f>AVERAGE(AJ101:AK130)</f>
        <v>106.07142857142857</v>
      </c>
      <c r="AK131" s="173"/>
      <c r="AL131" s="173">
        <f>AVERAGE(AL101:AM130)</f>
        <v>107.28571428571428</v>
      </c>
      <c r="AM131" s="173"/>
      <c r="AN131" s="173">
        <f>AVERAGE(AN101:AO130)</f>
        <v>103.82142857142857</v>
      </c>
      <c r="AO131" s="173"/>
      <c r="AP131" s="173">
        <f>AVERAGE(AP101:AQ130)</f>
        <v>100.5</v>
      </c>
      <c r="AQ131" s="173"/>
      <c r="AR131" s="173">
        <f>AVERAGE(AR101:AS130)</f>
        <v>94.857142857142847</v>
      </c>
      <c r="AS131" s="173"/>
      <c r="AT131" s="173">
        <f>AVERAGE(AT101:AU130)</f>
        <v>87.660714285714278</v>
      </c>
      <c r="AU131" s="173"/>
      <c r="AV131" s="173">
        <f>AVERAGE(AV101:AW130)</f>
        <v>84.982142857142861</v>
      </c>
      <c r="AW131" s="173"/>
    </row>
    <row r="132" spans="1:49" x14ac:dyDescent="0.15">
      <c r="A132" s="83">
        <v>20200301</v>
      </c>
      <c r="B132" s="83">
        <v>57</v>
      </c>
      <c r="C132" s="83">
        <v>40</v>
      </c>
      <c r="D132" s="83">
        <v>41</v>
      </c>
      <c r="E132" s="83">
        <v>38</v>
      </c>
      <c r="F132" s="83">
        <v>38</v>
      </c>
      <c r="G132" s="83">
        <v>42</v>
      </c>
      <c r="H132" s="83">
        <v>41</v>
      </c>
      <c r="I132" s="83">
        <v>38</v>
      </c>
      <c r="J132" s="83">
        <v>36</v>
      </c>
      <c r="K132" s="83">
        <v>35</v>
      </c>
      <c r="L132" s="83">
        <v>72</v>
      </c>
      <c r="M132" s="83">
        <v>76</v>
      </c>
      <c r="N132" s="83">
        <v>84</v>
      </c>
      <c r="O132" s="83">
        <v>87</v>
      </c>
      <c r="P132" s="83">
        <v>113</v>
      </c>
      <c r="Q132" s="83">
        <v>113</v>
      </c>
      <c r="R132" s="83">
        <v>114</v>
      </c>
      <c r="S132" s="83">
        <v>119</v>
      </c>
      <c r="T132" s="83">
        <v>124</v>
      </c>
      <c r="U132" s="83">
        <v>127</v>
      </c>
      <c r="V132" s="83">
        <v>115</v>
      </c>
      <c r="W132" s="83">
        <v>119</v>
      </c>
      <c r="X132" s="83">
        <v>123</v>
      </c>
      <c r="Y132" s="83">
        <v>122</v>
      </c>
      <c r="Z132" s="83">
        <v>121</v>
      </c>
      <c r="AA132" s="83">
        <v>126</v>
      </c>
      <c r="AB132" s="83">
        <v>123</v>
      </c>
      <c r="AC132" s="83">
        <v>122</v>
      </c>
      <c r="AD132" s="83">
        <v>116</v>
      </c>
      <c r="AE132" s="83">
        <v>131</v>
      </c>
      <c r="AF132" s="83">
        <v>120</v>
      </c>
      <c r="AG132" s="83">
        <v>116</v>
      </c>
      <c r="AH132" s="83">
        <v>112</v>
      </c>
      <c r="AI132" s="83">
        <v>109</v>
      </c>
      <c r="AJ132" s="83">
        <v>106</v>
      </c>
      <c r="AK132" s="83">
        <v>109</v>
      </c>
      <c r="AL132" s="83">
        <v>101</v>
      </c>
      <c r="AM132" s="83">
        <v>107</v>
      </c>
      <c r="AN132" s="83">
        <v>109</v>
      </c>
      <c r="AO132" s="83">
        <v>112</v>
      </c>
      <c r="AP132" s="83">
        <v>103</v>
      </c>
      <c r="AQ132" s="83">
        <v>102</v>
      </c>
      <c r="AR132" s="83">
        <v>100</v>
      </c>
      <c r="AS132" s="83">
        <v>91</v>
      </c>
      <c r="AT132" s="83">
        <v>90</v>
      </c>
      <c r="AU132" s="83">
        <v>86</v>
      </c>
      <c r="AV132" s="83">
        <v>85</v>
      </c>
      <c r="AW132" s="83">
        <v>86</v>
      </c>
    </row>
    <row r="133" spans="1:49" x14ac:dyDescent="0.15">
      <c r="A133" s="83">
        <v>20200302</v>
      </c>
      <c r="B133" s="83">
        <v>62</v>
      </c>
      <c r="C133" s="83">
        <v>39</v>
      </c>
      <c r="D133" s="83">
        <v>38</v>
      </c>
      <c r="E133" s="83">
        <v>33</v>
      </c>
      <c r="F133" s="83">
        <v>36</v>
      </c>
      <c r="G133" s="83">
        <v>38</v>
      </c>
      <c r="H133" s="83">
        <v>37</v>
      </c>
      <c r="I133" s="83">
        <v>33</v>
      </c>
      <c r="J133" s="83">
        <v>31</v>
      </c>
      <c r="K133" s="83">
        <v>32</v>
      </c>
      <c r="L133" s="83">
        <v>31</v>
      </c>
      <c r="M133" s="83">
        <v>52</v>
      </c>
      <c r="N133" s="83">
        <v>104</v>
      </c>
      <c r="O133" s="83">
        <v>88</v>
      </c>
      <c r="P133" s="83">
        <v>106</v>
      </c>
      <c r="Q133" s="83">
        <v>102</v>
      </c>
      <c r="R133" s="83">
        <v>109</v>
      </c>
      <c r="S133" s="83">
        <v>117</v>
      </c>
      <c r="T133" s="83">
        <v>126</v>
      </c>
      <c r="U133" s="83">
        <v>119</v>
      </c>
      <c r="V133" s="83">
        <v>120</v>
      </c>
      <c r="W133" s="83">
        <v>120</v>
      </c>
      <c r="X133" s="83">
        <v>119</v>
      </c>
      <c r="Y133" s="83">
        <v>122</v>
      </c>
      <c r="Z133" s="83">
        <v>121</v>
      </c>
      <c r="AA133" s="83">
        <v>120</v>
      </c>
      <c r="AB133" s="83">
        <v>117</v>
      </c>
      <c r="AC133" s="83">
        <v>116</v>
      </c>
      <c r="AD133" s="83">
        <v>114</v>
      </c>
      <c r="AE133" s="83">
        <v>126</v>
      </c>
      <c r="AF133" s="83">
        <v>117</v>
      </c>
      <c r="AG133" s="83">
        <v>107</v>
      </c>
      <c r="AH133" s="83">
        <v>107</v>
      </c>
      <c r="AI133" s="83">
        <v>102</v>
      </c>
      <c r="AJ133" s="83">
        <v>110</v>
      </c>
      <c r="AK133" s="83">
        <v>113</v>
      </c>
      <c r="AL133" s="83">
        <v>103</v>
      </c>
      <c r="AM133" s="83">
        <v>111</v>
      </c>
      <c r="AN133" s="83">
        <v>111</v>
      </c>
      <c r="AO133" s="83">
        <v>110</v>
      </c>
      <c r="AP133" s="83">
        <v>100</v>
      </c>
      <c r="AQ133" s="83">
        <v>106</v>
      </c>
      <c r="AR133" s="83">
        <v>101</v>
      </c>
      <c r="AS133" s="83">
        <v>98</v>
      </c>
      <c r="AT133" s="83">
        <v>95</v>
      </c>
      <c r="AU133" s="83">
        <v>92</v>
      </c>
      <c r="AV133" s="83">
        <v>91</v>
      </c>
      <c r="AW133" s="83">
        <v>92</v>
      </c>
    </row>
    <row r="134" spans="1:49" x14ac:dyDescent="0.15">
      <c r="A134" s="83">
        <v>20200303</v>
      </c>
      <c r="B134" s="83">
        <v>61</v>
      </c>
      <c r="C134" s="83">
        <v>40</v>
      </c>
      <c r="D134" s="83">
        <v>39</v>
      </c>
      <c r="E134" s="83">
        <v>35</v>
      </c>
      <c r="F134" s="83">
        <v>37</v>
      </c>
      <c r="G134" s="83">
        <v>39</v>
      </c>
      <c r="H134" s="83">
        <v>39</v>
      </c>
      <c r="I134" s="83">
        <v>36</v>
      </c>
      <c r="J134" s="83">
        <v>32</v>
      </c>
      <c r="K134" s="83">
        <v>32</v>
      </c>
      <c r="L134" s="83">
        <v>35</v>
      </c>
      <c r="M134" s="83">
        <v>53</v>
      </c>
      <c r="N134" s="83">
        <v>104</v>
      </c>
      <c r="O134" s="83">
        <v>93</v>
      </c>
      <c r="P134" s="83">
        <v>115</v>
      </c>
      <c r="Q134" s="83">
        <v>124</v>
      </c>
      <c r="R134" s="83">
        <v>110</v>
      </c>
      <c r="S134" s="83">
        <v>123</v>
      </c>
      <c r="T134" s="83">
        <v>132</v>
      </c>
      <c r="U134" s="83">
        <v>118</v>
      </c>
      <c r="V134" s="83">
        <v>118</v>
      </c>
      <c r="W134" s="83">
        <v>120</v>
      </c>
      <c r="X134" s="83">
        <v>116</v>
      </c>
      <c r="Y134" s="83">
        <v>124</v>
      </c>
      <c r="Z134" s="83">
        <v>117</v>
      </c>
      <c r="AA134" s="83">
        <v>119</v>
      </c>
      <c r="AB134" s="83">
        <v>119</v>
      </c>
      <c r="AC134" s="83">
        <v>117</v>
      </c>
      <c r="AD134" s="83">
        <v>117</v>
      </c>
      <c r="AE134" s="83">
        <v>124</v>
      </c>
      <c r="AF134" s="83">
        <v>115</v>
      </c>
      <c r="AG134" s="83">
        <v>113</v>
      </c>
      <c r="AH134" s="83">
        <v>113</v>
      </c>
      <c r="AI134" s="83">
        <v>108</v>
      </c>
      <c r="AJ134" s="83">
        <v>109</v>
      </c>
      <c r="AK134" s="83">
        <v>110</v>
      </c>
      <c r="AL134" s="83">
        <v>107</v>
      </c>
      <c r="AM134" s="83">
        <v>109</v>
      </c>
      <c r="AN134" s="83">
        <v>115</v>
      </c>
      <c r="AO134" s="83">
        <v>115</v>
      </c>
      <c r="AP134" s="83">
        <v>100</v>
      </c>
      <c r="AQ134" s="83">
        <v>106</v>
      </c>
      <c r="AR134" s="83">
        <v>102</v>
      </c>
      <c r="AS134" s="83">
        <v>98</v>
      </c>
      <c r="AT134" s="83">
        <v>89</v>
      </c>
      <c r="AU134" s="83">
        <v>87</v>
      </c>
      <c r="AV134" s="83">
        <v>86</v>
      </c>
      <c r="AW134" s="83">
        <v>86</v>
      </c>
    </row>
    <row r="135" spans="1:49" x14ac:dyDescent="0.15">
      <c r="A135" s="83">
        <v>20200304</v>
      </c>
      <c r="B135" s="83">
        <v>61</v>
      </c>
      <c r="C135" s="83">
        <v>39</v>
      </c>
      <c r="D135" s="83">
        <v>38</v>
      </c>
      <c r="E135" s="83">
        <v>35</v>
      </c>
      <c r="F135" s="83">
        <v>37</v>
      </c>
      <c r="G135" s="83">
        <v>39</v>
      </c>
      <c r="H135" s="83">
        <v>37</v>
      </c>
      <c r="I135" s="83">
        <v>35</v>
      </c>
      <c r="J135" s="83">
        <v>33</v>
      </c>
      <c r="K135" s="83">
        <v>33</v>
      </c>
      <c r="L135" s="83">
        <v>34</v>
      </c>
      <c r="M135" s="83">
        <v>59</v>
      </c>
      <c r="N135" s="83">
        <v>93</v>
      </c>
      <c r="O135" s="83">
        <v>86</v>
      </c>
      <c r="P135" s="83">
        <v>105</v>
      </c>
      <c r="Q135" s="83">
        <v>114</v>
      </c>
      <c r="R135" s="83">
        <v>110</v>
      </c>
      <c r="S135" s="83">
        <v>116</v>
      </c>
      <c r="T135" s="83">
        <v>123</v>
      </c>
      <c r="U135" s="83">
        <v>118</v>
      </c>
      <c r="V135" s="83">
        <v>118</v>
      </c>
      <c r="W135" s="83">
        <v>121</v>
      </c>
      <c r="X135" s="83">
        <v>111</v>
      </c>
      <c r="Y135" s="83">
        <v>116</v>
      </c>
      <c r="Z135" s="83">
        <v>120</v>
      </c>
      <c r="AA135" s="83">
        <v>116</v>
      </c>
      <c r="AB135" s="83">
        <v>115</v>
      </c>
      <c r="AC135" s="83">
        <v>113</v>
      </c>
      <c r="AD135" s="83">
        <v>104</v>
      </c>
      <c r="AE135" s="83">
        <v>122</v>
      </c>
      <c r="AF135" s="83">
        <v>115</v>
      </c>
      <c r="AG135" s="83">
        <v>108</v>
      </c>
      <c r="AH135" s="83">
        <v>103</v>
      </c>
      <c r="AI135" s="83">
        <v>105</v>
      </c>
      <c r="AJ135" s="83">
        <v>106</v>
      </c>
      <c r="AK135" s="83">
        <v>102</v>
      </c>
      <c r="AL135" s="83">
        <v>106</v>
      </c>
      <c r="AM135" s="83">
        <v>111</v>
      </c>
      <c r="AN135" s="83">
        <v>112</v>
      </c>
      <c r="AO135" s="83">
        <v>112</v>
      </c>
      <c r="AP135" s="83">
        <v>105</v>
      </c>
      <c r="AQ135" s="83">
        <v>102</v>
      </c>
      <c r="AR135" s="83">
        <v>101</v>
      </c>
      <c r="AS135" s="83">
        <v>96</v>
      </c>
      <c r="AT135" s="83">
        <v>92</v>
      </c>
      <c r="AU135" s="83">
        <v>91</v>
      </c>
      <c r="AV135" s="83">
        <v>91</v>
      </c>
      <c r="AW135" s="83">
        <v>78</v>
      </c>
    </row>
    <row r="136" spans="1:49" x14ac:dyDescent="0.15">
      <c r="A136" s="83">
        <v>20200305</v>
      </c>
      <c r="B136" s="83">
        <v>68</v>
      </c>
      <c r="C136" s="83">
        <v>56</v>
      </c>
      <c r="D136" s="83">
        <v>55</v>
      </c>
      <c r="E136" s="83">
        <v>54</v>
      </c>
      <c r="F136" s="83">
        <v>54</v>
      </c>
      <c r="G136" s="83">
        <v>59</v>
      </c>
      <c r="H136" s="83">
        <v>57</v>
      </c>
      <c r="I136" s="83">
        <v>56</v>
      </c>
      <c r="J136" s="83">
        <v>54</v>
      </c>
      <c r="K136" s="83">
        <v>54</v>
      </c>
      <c r="L136" s="83">
        <v>69</v>
      </c>
      <c r="M136" s="83">
        <v>71</v>
      </c>
      <c r="N136" s="83">
        <v>116</v>
      </c>
      <c r="O136" s="83">
        <v>102</v>
      </c>
      <c r="P136" s="83">
        <v>111</v>
      </c>
      <c r="Q136" s="83">
        <v>122</v>
      </c>
      <c r="R136" s="83">
        <v>117</v>
      </c>
      <c r="S136" s="83">
        <v>119</v>
      </c>
      <c r="T136" s="83">
        <v>120</v>
      </c>
      <c r="U136" s="83">
        <v>117</v>
      </c>
      <c r="V136" s="83">
        <v>112</v>
      </c>
      <c r="W136" s="83">
        <v>115</v>
      </c>
      <c r="X136" s="83">
        <v>112</v>
      </c>
      <c r="Y136" s="83">
        <v>110</v>
      </c>
      <c r="Z136" s="83">
        <v>119</v>
      </c>
      <c r="AA136" s="83">
        <v>116</v>
      </c>
      <c r="AB136" s="83">
        <v>113</v>
      </c>
      <c r="AC136" s="83">
        <v>111</v>
      </c>
      <c r="AD136" s="83">
        <v>111</v>
      </c>
      <c r="AE136" s="83">
        <v>120</v>
      </c>
      <c r="AF136" s="83">
        <v>111</v>
      </c>
      <c r="AG136" s="83">
        <v>108</v>
      </c>
      <c r="AH136" s="83">
        <v>99</v>
      </c>
      <c r="AI136" s="83">
        <v>99</v>
      </c>
      <c r="AJ136" s="83">
        <v>99</v>
      </c>
      <c r="AK136" s="83">
        <v>107</v>
      </c>
      <c r="AL136" s="83">
        <v>106</v>
      </c>
      <c r="AM136" s="83">
        <v>103</v>
      </c>
      <c r="AN136" s="83">
        <v>96</v>
      </c>
      <c r="AO136" s="83">
        <v>96</v>
      </c>
      <c r="AP136" s="83">
        <v>97</v>
      </c>
      <c r="AQ136" s="83">
        <v>100</v>
      </c>
      <c r="AR136" s="83">
        <v>94</v>
      </c>
      <c r="AS136" s="83">
        <v>91</v>
      </c>
      <c r="AT136" s="83">
        <v>88</v>
      </c>
      <c r="AU136" s="83">
        <v>85</v>
      </c>
      <c r="AV136" s="83">
        <v>83</v>
      </c>
      <c r="AW136" s="83">
        <v>83</v>
      </c>
    </row>
    <row r="137" spans="1:49" x14ac:dyDescent="0.15">
      <c r="A137" s="83">
        <v>20200306</v>
      </c>
      <c r="B137" s="83">
        <v>52</v>
      </c>
      <c r="C137" s="83">
        <v>38</v>
      </c>
      <c r="D137" s="83">
        <v>37</v>
      </c>
      <c r="E137" s="83">
        <v>33</v>
      </c>
      <c r="F137" s="83">
        <v>36</v>
      </c>
      <c r="G137" s="83">
        <v>38</v>
      </c>
      <c r="H137" s="83">
        <v>36</v>
      </c>
      <c r="I137" s="83">
        <v>33</v>
      </c>
      <c r="J137" s="83">
        <v>30</v>
      </c>
      <c r="K137" s="83">
        <v>32</v>
      </c>
      <c r="L137" s="83">
        <v>32</v>
      </c>
      <c r="M137" s="83">
        <v>40</v>
      </c>
      <c r="N137" s="83">
        <v>102</v>
      </c>
      <c r="O137" s="83">
        <v>87</v>
      </c>
      <c r="P137" s="83">
        <v>103</v>
      </c>
      <c r="Q137" s="83">
        <v>111</v>
      </c>
      <c r="R137" s="83">
        <v>109</v>
      </c>
      <c r="S137" s="83">
        <v>116</v>
      </c>
      <c r="T137" s="83">
        <v>123</v>
      </c>
      <c r="U137" s="83">
        <v>115</v>
      </c>
      <c r="V137" s="83">
        <v>111</v>
      </c>
      <c r="W137" s="83">
        <v>115</v>
      </c>
      <c r="X137" s="83">
        <v>111</v>
      </c>
      <c r="Y137" s="83">
        <v>113</v>
      </c>
      <c r="Z137" s="83">
        <v>115</v>
      </c>
      <c r="AA137" s="83">
        <v>119</v>
      </c>
      <c r="AB137" s="83">
        <v>114</v>
      </c>
      <c r="AC137" s="83">
        <v>113</v>
      </c>
      <c r="AD137" s="83">
        <v>107</v>
      </c>
      <c r="AE137" s="83">
        <v>119</v>
      </c>
      <c r="AF137" s="83">
        <v>108</v>
      </c>
      <c r="AG137" s="83">
        <v>107</v>
      </c>
      <c r="AH137" s="83">
        <v>104</v>
      </c>
      <c r="AI137" s="83">
        <v>103</v>
      </c>
      <c r="AJ137" s="83">
        <v>99</v>
      </c>
      <c r="AK137" s="83">
        <v>102</v>
      </c>
      <c r="AL137" s="83">
        <v>98</v>
      </c>
      <c r="AM137" s="83">
        <v>108</v>
      </c>
      <c r="AN137" s="83">
        <v>105</v>
      </c>
      <c r="AO137" s="83">
        <v>98</v>
      </c>
      <c r="AP137" s="83">
        <v>95</v>
      </c>
      <c r="AQ137" s="83">
        <v>99</v>
      </c>
      <c r="AR137" s="83">
        <v>96</v>
      </c>
      <c r="AS137" s="83">
        <v>92</v>
      </c>
      <c r="AT137" s="83">
        <v>87</v>
      </c>
      <c r="AU137" s="83">
        <v>86</v>
      </c>
      <c r="AV137" s="83">
        <v>83</v>
      </c>
      <c r="AW137" s="83">
        <v>85</v>
      </c>
    </row>
    <row r="138" spans="1:49" x14ac:dyDescent="0.15">
      <c r="A138" s="83">
        <v>20200307</v>
      </c>
      <c r="B138" s="83">
        <v>56</v>
      </c>
      <c r="C138" s="83">
        <v>38</v>
      </c>
      <c r="D138" s="83">
        <v>35</v>
      </c>
      <c r="E138" s="83">
        <v>31</v>
      </c>
      <c r="F138" s="83">
        <v>34</v>
      </c>
      <c r="G138" s="83">
        <v>34</v>
      </c>
      <c r="H138" s="83">
        <v>33</v>
      </c>
      <c r="I138" s="83">
        <v>32</v>
      </c>
      <c r="J138" s="83">
        <v>28</v>
      </c>
      <c r="K138" s="83">
        <v>29</v>
      </c>
      <c r="L138" s="83">
        <v>29</v>
      </c>
      <c r="M138" s="83">
        <v>38</v>
      </c>
      <c r="N138" s="83">
        <v>98</v>
      </c>
      <c r="O138" s="83">
        <v>95</v>
      </c>
      <c r="P138" s="83">
        <v>103</v>
      </c>
      <c r="Q138" s="83">
        <v>109</v>
      </c>
      <c r="R138" s="83">
        <v>109</v>
      </c>
      <c r="S138" s="83">
        <v>118</v>
      </c>
      <c r="T138" s="83">
        <v>128</v>
      </c>
      <c r="U138" s="83">
        <v>124</v>
      </c>
      <c r="V138" s="83">
        <v>121</v>
      </c>
      <c r="W138" s="83">
        <v>128</v>
      </c>
      <c r="X138" s="83">
        <v>122</v>
      </c>
      <c r="Y138" s="83">
        <v>125</v>
      </c>
      <c r="Z138" s="83">
        <v>135</v>
      </c>
      <c r="AA138" s="83">
        <v>129</v>
      </c>
      <c r="AB138" s="83">
        <v>123</v>
      </c>
      <c r="AC138" s="83">
        <v>128</v>
      </c>
      <c r="AD138" s="83">
        <v>116</v>
      </c>
      <c r="AE138" s="83">
        <v>127</v>
      </c>
      <c r="AF138" s="83">
        <v>123</v>
      </c>
      <c r="AG138" s="83">
        <v>116</v>
      </c>
      <c r="AH138" s="83">
        <v>110</v>
      </c>
      <c r="AI138" s="83">
        <v>112</v>
      </c>
      <c r="AJ138" s="83">
        <v>109</v>
      </c>
      <c r="AK138" s="83">
        <v>108</v>
      </c>
      <c r="AL138" s="83">
        <v>104</v>
      </c>
      <c r="AM138" s="83">
        <v>110</v>
      </c>
      <c r="AN138" s="83">
        <v>110</v>
      </c>
      <c r="AO138" s="83">
        <v>104</v>
      </c>
      <c r="AP138" s="83">
        <v>102</v>
      </c>
      <c r="AQ138" s="83">
        <v>109</v>
      </c>
      <c r="AR138" s="83">
        <v>101</v>
      </c>
      <c r="AS138" s="83">
        <v>96</v>
      </c>
      <c r="AT138" s="83">
        <v>91</v>
      </c>
      <c r="AU138" s="83">
        <v>91</v>
      </c>
      <c r="AV138" s="83">
        <v>88</v>
      </c>
      <c r="AW138" s="83">
        <v>86</v>
      </c>
    </row>
    <row r="139" spans="1:49" x14ac:dyDescent="0.15">
      <c r="A139" s="83">
        <v>20200308</v>
      </c>
      <c r="B139" s="83">
        <v>56</v>
      </c>
      <c r="C139" s="83">
        <v>40</v>
      </c>
      <c r="D139" s="83">
        <v>37</v>
      </c>
      <c r="E139" s="83">
        <v>35</v>
      </c>
      <c r="F139" s="83">
        <v>36</v>
      </c>
      <c r="G139" s="83">
        <v>39</v>
      </c>
      <c r="H139" s="83">
        <v>38</v>
      </c>
      <c r="I139" s="83">
        <v>35</v>
      </c>
      <c r="J139" s="83">
        <v>34</v>
      </c>
      <c r="K139" s="83">
        <v>32</v>
      </c>
      <c r="L139" s="83">
        <v>33</v>
      </c>
      <c r="M139" s="83">
        <v>50</v>
      </c>
      <c r="N139" s="83">
        <v>103</v>
      </c>
      <c r="O139" s="83">
        <v>91</v>
      </c>
      <c r="P139" s="83">
        <v>108</v>
      </c>
      <c r="Q139" s="83">
        <v>112</v>
      </c>
      <c r="R139" s="83">
        <v>115</v>
      </c>
      <c r="S139" s="83">
        <v>122</v>
      </c>
      <c r="T139" s="83">
        <v>129</v>
      </c>
      <c r="U139" s="83">
        <v>125</v>
      </c>
      <c r="V139" s="83">
        <v>121</v>
      </c>
      <c r="W139" s="83">
        <v>122</v>
      </c>
      <c r="X139" s="83">
        <v>127</v>
      </c>
      <c r="Y139" s="83">
        <v>122</v>
      </c>
      <c r="Z139" s="83">
        <v>120</v>
      </c>
      <c r="AA139" s="83">
        <v>129</v>
      </c>
      <c r="AB139" s="83">
        <v>123</v>
      </c>
      <c r="AC139" s="83">
        <v>124</v>
      </c>
      <c r="AD139" s="83">
        <v>125</v>
      </c>
      <c r="AE139" s="83">
        <v>128</v>
      </c>
      <c r="AF139" s="83">
        <v>126</v>
      </c>
      <c r="AG139" s="83">
        <v>119</v>
      </c>
      <c r="AH139" s="83">
        <v>113</v>
      </c>
      <c r="AI139" s="83">
        <v>108</v>
      </c>
      <c r="AJ139" s="83">
        <v>107</v>
      </c>
      <c r="AK139" s="83">
        <v>111</v>
      </c>
      <c r="AL139" s="83">
        <v>105</v>
      </c>
      <c r="AM139" s="83">
        <v>114</v>
      </c>
      <c r="AN139" s="83">
        <v>114</v>
      </c>
      <c r="AO139" s="83">
        <v>108</v>
      </c>
      <c r="AP139" s="83">
        <v>101</v>
      </c>
      <c r="AQ139" s="83">
        <v>110</v>
      </c>
      <c r="AR139" s="83">
        <v>103</v>
      </c>
      <c r="AS139" s="83">
        <v>97</v>
      </c>
      <c r="AT139" s="83">
        <v>93</v>
      </c>
      <c r="AU139" s="83">
        <v>91</v>
      </c>
      <c r="AV139" s="83">
        <v>89</v>
      </c>
      <c r="AW139" s="83">
        <v>91</v>
      </c>
    </row>
    <row r="140" spans="1:49" x14ac:dyDescent="0.15">
      <c r="A140" s="83">
        <v>20200309</v>
      </c>
      <c r="B140" s="83">
        <v>61</v>
      </c>
      <c r="C140" s="83">
        <v>40</v>
      </c>
      <c r="D140" s="83">
        <v>39</v>
      </c>
      <c r="E140" s="83">
        <v>36</v>
      </c>
      <c r="F140" s="83">
        <v>38</v>
      </c>
      <c r="G140" s="83">
        <v>40</v>
      </c>
      <c r="H140" s="83">
        <v>41</v>
      </c>
      <c r="I140" s="83">
        <v>38</v>
      </c>
      <c r="J140" s="83">
        <v>35</v>
      </c>
      <c r="K140" s="83">
        <v>33</v>
      </c>
      <c r="L140" s="83">
        <v>33</v>
      </c>
      <c r="M140" s="83">
        <v>51</v>
      </c>
      <c r="N140" s="83">
        <v>100</v>
      </c>
      <c r="O140" s="83">
        <v>86</v>
      </c>
      <c r="P140" s="83">
        <v>104</v>
      </c>
      <c r="Q140" s="83">
        <v>106</v>
      </c>
      <c r="R140" s="83">
        <v>110</v>
      </c>
      <c r="S140" s="83">
        <v>116</v>
      </c>
      <c r="T140" s="83">
        <v>132</v>
      </c>
      <c r="U140" s="83">
        <v>124</v>
      </c>
      <c r="V140" s="83">
        <v>124</v>
      </c>
      <c r="W140" s="83">
        <v>126</v>
      </c>
      <c r="X140" s="83">
        <v>121</v>
      </c>
      <c r="Y140" s="83">
        <v>123</v>
      </c>
      <c r="Z140" s="83">
        <v>123</v>
      </c>
      <c r="AA140" s="83">
        <v>126</v>
      </c>
      <c r="AB140" s="83">
        <v>120</v>
      </c>
      <c r="AC140" s="83">
        <v>126</v>
      </c>
      <c r="AD140" s="83">
        <v>118</v>
      </c>
      <c r="AE140" s="83">
        <v>129</v>
      </c>
      <c r="AF140" s="83">
        <v>123</v>
      </c>
      <c r="AG140" s="83">
        <v>119</v>
      </c>
      <c r="AH140" s="83">
        <v>117</v>
      </c>
      <c r="AI140" s="83">
        <v>114</v>
      </c>
      <c r="AJ140" s="83">
        <v>115</v>
      </c>
      <c r="AK140" s="83">
        <v>121</v>
      </c>
      <c r="AL140" s="83">
        <v>106</v>
      </c>
      <c r="AM140" s="83">
        <v>111</v>
      </c>
      <c r="AN140" s="83">
        <v>106</v>
      </c>
      <c r="AO140" s="83">
        <v>107</v>
      </c>
      <c r="AP140" s="83">
        <v>102</v>
      </c>
      <c r="AQ140" s="83">
        <v>105</v>
      </c>
      <c r="AR140" s="83">
        <v>101</v>
      </c>
      <c r="AS140" s="83">
        <v>97</v>
      </c>
      <c r="AT140" s="83">
        <v>96</v>
      </c>
      <c r="AU140" s="83">
        <v>91</v>
      </c>
      <c r="AV140" s="83">
        <v>90</v>
      </c>
      <c r="AW140" s="83">
        <v>88</v>
      </c>
    </row>
    <row r="141" spans="1:49" x14ac:dyDescent="0.15">
      <c r="A141" s="83">
        <v>20200310</v>
      </c>
      <c r="B141" s="83">
        <v>55</v>
      </c>
      <c r="C141" s="83">
        <v>41</v>
      </c>
      <c r="D141" s="83">
        <v>40</v>
      </c>
      <c r="E141" s="83">
        <v>37</v>
      </c>
      <c r="F141" s="83">
        <v>39</v>
      </c>
      <c r="G141" s="83">
        <v>42</v>
      </c>
      <c r="H141" s="83">
        <v>39</v>
      </c>
      <c r="I141" s="83">
        <v>38</v>
      </c>
      <c r="J141" s="83">
        <v>35</v>
      </c>
      <c r="K141" s="83">
        <v>35</v>
      </c>
      <c r="L141" s="83">
        <v>34</v>
      </c>
      <c r="M141" s="83">
        <v>47</v>
      </c>
      <c r="N141" s="83">
        <v>103</v>
      </c>
      <c r="O141" s="83">
        <v>87</v>
      </c>
      <c r="P141" s="83">
        <v>103</v>
      </c>
      <c r="Q141" s="83">
        <v>111</v>
      </c>
      <c r="R141" s="83">
        <v>117</v>
      </c>
      <c r="S141" s="83">
        <v>123</v>
      </c>
      <c r="T141" s="83">
        <v>128</v>
      </c>
      <c r="U141" s="83">
        <v>125</v>
      </c>
      <c r="V141" s="83">
        <v>123</v>
      </c>
      <c r="W141" s="83">
        <v>122</v>
      </c>
      <c r="X141" s="83">
        <v>120</v>
      </c>
      <c r="Y141" s="83">
        <v>118</v>
      </c>
      <c r="Z141" s="83">
        <v>120</v>
      </c>
      <c r="AA141" s="83">
        <v>127</v>
      </c>
      <c r="AB141" s="83">
        <v>119</v>
      </c>
      <c r="AC141" s="83">
        <v>119</v>
      </c>
      <c r="AD141" s="83">
        <v>113</v>
      </c>
      <c r="AE141" s="83">
        <v>126</v>
      </c>
      <c r="AF141" s="83">
        <v>120</v>
      </c>
      <c r="AG141" s="83">
        <v>116</v>
      </c>
      <c r="AH141" s="83">
        <v>118</v>
      </c>
      <c r="AI141" s="83">
        <v>119</v>
      </c>
      <c r="AJ141" s="83">
        <v>113</v>
      </c>
      <c r="AK141" s="83">
        <v>112</v>
      </c>
      <c r="AL141" s="83">
        <v>108</v>
      </c>
      <c r="AM141" s="83">
        <v>115</v>
      </c>
      <c r="AN141" s="83">
        <v>113</v>
      </c>
      <c r="AO141" s="83">
        <v>115</v>
      </c>
      <c r="AP141" s="83">
        <v>107</v>
      </c>
      <c r="AQ141" s="83">
        <v>110</v>
      </c>
      <c r="AR141" s="83">
        <v>104</v>
      </c>
      <c r="AS141" s="83">
        <v>100</v>
      </c>
      <c r="AT141" s="83">
        <v>97</v>
      </c>
      <c r="AU141" s="83">
        <v>97</v>
      </c>
      <c r="AV141" s="83">
        <v>95</v>
      </c>
      <c r="AW141" s="83">
        <v>96</v>
      </c>
    </row>
    <row r="142" spans="1:49" x14ac:dyDescent="0.15">
      <c r="A142" s="83">
        <v>20200311</v>
      </c>
      <c r="B142" s="83">
        <v>71</v>
      </c>
      <c r="C142" s="83">
        <v>55</v>
      </c>
      <c r="D142" s="83">
        <v>53</v>
      </c>
      <c r="E142" s="83">
        <v>52</v>
      </c>
      <c r="F142" s="83">
        <v>53</v>
      </c>
      <c r="G142" s="83">
        <v>57</v>
      </c>
      <c r="H142" s="83">
        <v>55</v>
      </c>
      <c r="I142" s="83">
        <v>51</v>
      </c>
      <c r="J142" s="83">
        <v>49</v>
      </c>
      <c r="K142" s="83">
        <v>43</v>
      </c>
      <c r="L142" s="83">
        <v>38</v>
      </c>
      <c r="M142" s="83">
        <v>51</v>
      </c>
      <c r="N142" s="83">
        <v>104</v>
      </c>
      <c r="O142" s="83">
        <v>92</v>
      </c>
      <c r="P142" s="83">
        <v>104</v>
      </c>
      <c r="Q142" s="83">
        <v>109</v>
      </c>
      <c r="R142" s="83">
        <v>116</v>
      </c>
      <c r="S142" s="83">
        <v>127</v>
      </c>
      <c r="T142" s="83">
        <v>123</v>
      </c>
      <c r="U142" s="83">
        <v>119</v>
      </c>
      <c r="V142" s="83">
        <v>113</v>
      </c>
      <c r="W142" s="83">
        <v>112</v>
      </c>
      <c r="X142" s="83">
        <v>111</v>
      </c>
      <c r="Y142" s="83">
        <v>114</v>
      </c>
      <c r="Z142" s="83">
        <v>115</v>
      </c>
      <c r="AA142" s="83">
        <v>120</v>
      </c>
      <c r="AB142" s="83">
        <v>110</v>
      </c>
      <c r="AC142" s="83">
        <v>111</v>
      </c>
      <c r="AD142" s="83">
        <v>106</v>
      </c>
      <c r="AE142" s="83">
        <v>115</v>
      </c>
      <c r="AF142" s="83">
        <v>109</v>
      </c>
      <c r="AG142" s="83">
        <v>104</v>
      </c>
      <c r="AH142" s="83">
        <v>105</v>
      </c>
      <c r="AI142" s="83">
        <v>103</v>
      </c>
      <c r="AJ142" s="83">
        <v>104</v>
      </c>
      <c r="AK142" s="83">
        <v>103</v>
      </c>
      <c r="AL142" s="83">
        <v>97</v>
      </c>
      <c r="AM142" s="83">
        <v>98</v>
      </c>
      <c r="AN142" s="83">
        <v>94</v>
      </c>
      <c r="AO142" s="83">
        <v>96</v>
      </c>
      <c r="AP142" s="83">
        <v>95</v>
      </c>
      <c r="AQ142" s="83">
        <v>101</v>
      </c>
      <c r="AR142" s="83">
        <v>100</v>
      </c>
      <c r="AS142" s="83">
        <v>94</v>
      </c>
      <c r="AT142" s="83">
        <v>93</v>
      </c>
      <c r="AU142" s="83">
        <v>90</v>
      </c>
      <c r="AV142" s="83">
        <v>86</v>
      </c>
      <c r="AW142" s="83">
        <v>89</v>
      </c>
    </row>
    <row r="143" spans="1:49" x14ac:dyDescent="0.15">
      <c r="A143" s="83">
        <v>20200312</v>
      </c>
      <c r="B143" s="83">
        <v>63</v>
      </c>
      <c r="C143" s="83">
        <v>42</v>
      </c>
      <c r="D143" s="83">
        <v>41</v>
      </c>
      <c r="E143" s="83">
        <v>38</v>
      </c>
      <c r="F143" s="83">
        <v>39</v>
      </c>
      <c r="G143" s="83">
        <v>41</v>
      </c>
      <c r="H143" s="83">
        <v>41</v>
      </c>
      <c r="I143" s="83">
        <v>39</v>
      </c>
      <c r="J143" s="83">
        <v>36</v>
      </c>
      <c r="K143" s="83">
        <v>37</v>
      </c>
      <c r="L143" s="83">
        <v>35</v>
      </c>
      <c r="M143" s="83">
        <v>44</v>
      </c>
      <c r="N143" s="83">
        <v>101</v>
      </c>
      <c r="O143" s="83">
        <v>86</v>
      </c>
      <c r="P143" s="83">
        <v>106</v>
      </c>
      <c r="Q143" s="83">
        <v>106</v>
      </c>
      <c r="R143" s="83">
        <v>109</v>
      </c>
      <c r="S143" s="83">
        <v>117</v>
      </c>
      <c r="T143" s="83">
        <v>124</v>
      </c>
      <c r="U143" s="83">
        <v>120</v>
      </c>
      <c r="V143" s="83">
        <v>112</v>
      </c>
      <c r="W143" s="83">
        <v>118</v>
      </c>
      <c r="X143" s="83">
        <v>117</v>
      </c>
      <c r="Y143" s="83">
        <v>110</v>
      </c>
      <c r="Z143" s="83">
        <v>117</v>
      </c>
      <c r="AA143" s="83">
        <v>118</v>
      </c>
      <c r="AB143" s="83">
        <v>116</v>
      </c>
      <c r="AC143" s="83">
        <v>112</v>
      </c>
      <c r="AD143" s="83">
        <v>107</v>
      </c>
      <c r="AE143" s="83">
        <v>120</v>
      </c>
      <c r="AF143" s="83">
        <v>118</v>
      </c>
      <c r="AG143" s="83">
        <v>109</v>
      </c>
      <c r="AH143" s="83">
        <v>104</v>
      </c>
      <c r="AI143" s="83">
        <v>104</v>
      </c>
      <c r="AJ143" s="83">
        <v>100</v>
      </c>
      <c r="AK143" s="83">
        <v>101</v>
      </c>
      <c r="AL143" s="83">
        <v>96</v>
      </c>
      <c r="AM143" s="83">
        <v>102</v>
      </c>
      <c r="AN143" s="83">
        <v>100</v>
      </c>
      <c r="AO143" s="83">
        <v>104</v>
      </c>
      <c r="AP143" s="83">
        <v>98</v>
      </c>
      <c r="AQ143" s="83">
        <v>102</v>
      </c>
      <c r="AR143" s="83">
        <v>98</v>
      </c>
      <c r="AS143" s="83">
        <v>95</v>
      </c>
      <c r="AT143" s="83">
        <v>88</v>
      </c>
      <c r="AU143" s="83">
        <v>88</v>
      </c>
      <c r="AV143" s="83">
        <v>86</v>
      </c>
      <c r="AW143" s="83">
        <v>79</v>
      </c>
    </row>
    <row r="144" spans="1:49" x14ac:dyDescent="0.15">
      <c r="A144" s="83">
        <v>20200313</v>
      </c>
      <c r="B144" s="83">
        <v>51</v>
      </c>
      <c r="C144" s="83">
        <v>37</v>
      </c>
      <c r="D144" s="83">
        <v>36</v>
      </c>
      <c r="E144" s="83">
        <v>32</v>
      </c>
      <c r="F144" s="83">
        <v>34</v>
      </c>
      <c r="G144" s="83">
        <v>37</v>
      </c>
      <c r="H144" s="83">
        <v>36</v>
      </c>
      <c r="I144" s="83">
        <v>33</v>
      </c>
      <c r="J144" s="83">
        <v>31</v>
      </c>
      <c r="K144" s="83">
        <v>31</v>
      </c>
      <c r="L144" s="83">
        <v>31</v>
      </c>
      <c r="M144" s="83">
        <v>38</v>
      </c>
      <c r="N144" s="83">
        <v>104</v>
      </c>
      <c r="O144" s="83">
        <v>88</v>
      </c>
      <c r="P144" s="83">
        <v>104</v>
      </c>
      <c r="Q144" s="83">
        <v>107</v>
      </c>
      <c r="R144" s="83">
        <v>115</v>
      </c>
      <c r="S144" s="83">
        <v>127</v>
      </c>
      <c r="T144" s="83">
        <v>125</v>
      </c>
      <c r="U144" s="83">
        <v>124</v>
      </c>
      <c r="V144" s="83">
        <v>122</v>
      </c>
      <c r="W144" s="83">
        <v>115</v>
      </c>
      <c r="X144" s="83">
        <v>116</v>
      </c>
      <c r="Y144" s="83">
        <v>117</v>
      </c>
      <c r="Z144" s="83">
        <v>120</v>
      </c>
      <c r="AA144" s="83">
        <v>117</v>
      </c>
      <c r="AB144" s="83">
        <v>117</v>
      </c>
      <c r="AC144" s="83">
        <v>114</v>
      </c>
      <c r="AD144" s="83">
        <v>109</v>
      </c>
      <c r="AE144" s="83">
        <v>116</v>
      </c>
      <c r="AF144" s="83">
        <v>117</v>
      </c>
      <c r="AG144" s="83">
        <v>108</v>
      </c>
      <c r="AH144" s="83">
        <v>105</v>
      </c>
      <c r="AI144" s="83">
        <v>109</v>
      </c>
      <c r="AJ144" s="83">
        <v>113</v>
      </c>
      <c r="AK144" s="83">
        <v>105</v>
      </c>
      <c r="AL144" s="83">
        <v>98</v>
      </c>
      <c r="AM144" s="83">
        <v>104</v>
      </c>
      <c r="AN144" s="83">
        <v>100</v>
      </c>
      <c r="AO144" s="83">
        <v>100</v>
      </c>
      <c r="AP144" s="83">
        <v>97</v>
      </c>
      <c r="AQ144" s="83">
        <v>100</v>
      </c>
      <c r="AR144" s="83">
        <v>99</v>
      </c>
      <c r="AS144" s="83">
        <v>91</v>
      </c>
      <c r="AT144" s="83">
        <v>88</v>
      </c>
      <c r="AU144" s="83">
        <v>85</v>
      </c>
      <c r="AV144" s="83">
        <v>83</v>
      </c>
      <c r="AW144" s="83">
        <v>83</v>
      </c>
    </row>
    <row r="145" spans="1:51" x14ac:dyDescent="0.15">
      <c r="A145" s="83">
        <v>20200314</v>
      </c>
      <c r="B145" s="83">
        <v>60</v>
      </c>
      <c r="C145" s="83">
        <v>37</v>
      </c>
      <c r="D145" s="83">
        <v>37</v>
      </c>
      <c r="E145" s="83">
        <v>33</v>
      </c>
      <c r="F145" s="83">
        <v>34</v>
      </c>
      <c r="G145" s="83">
        <v>38</v>
      </c>
      <c r="H145" s="83">
        <v>37</v>
      </c>
      <c r="I145" s="83">
        <v>35</v>
      </c>
      <c r="J145" s="83">
        <v>32</v>
      </c>
      <c r="K145" s="83">
        <v>31</v>
      </c>
      <c r="L145" s="83">
        <v>32</v>
      </c>
      <c r="M145" s="83">
        <v>46</v>
      </c>
      <c r="N145" s="83">
        <v>101</v>
      </c>
      <c r="O145" s="83">
        <v>88</v>
      </c>
      <c r="P145" s="83">
        <v>101</v>
      </c>
      <c r="Q145" s="83">
        <v>112</v>
      </c>
      <c r="R145" s="83">
        <v>110</v>
      </c>
      <c r="S145" s="83">
        <v>118</v>
      </c>
      <c r="T145" s="83">
        <v>119</v>
      </c>
      <c r="U145" s="83">
        <v>114</v>
      </c>
      <c r="V145" s="83">
        <v>119</v>
      </c>
      <c r="W145" s="83">
        <v>113</v>
      </c>
      <c r="X145" s="83">
        <v>116</v>
      </c>
      <c r="Y145" s="83">
        <v>117</v>
      </c>
      <c r="Z145" s="83">
        <v>110</v>
      </c>
      <c r="AA145" s="83">
        <v>118</v>
      </c>
      <c r="AB145" s="83">
        <v>116</v>
      </c>
      <c r="AC145" s="83">
        <v>113</v>
      </c>
      <c r="AD145" s="83">
        <v>113</v>
      </c>
      <c r="AE145" s="83">
        <v>120</v>
      </c>
      <c r="AF145" s="83">
        <v>114</v>
      </c>
      <c r="AG145" s="83">
        <v>113</v>
      </c>
      <c r="AH145" s="83">
        <v>107</v>
      </c>
      <c r="AI145" s="83">
        <v>104</v>
      </c>
      <c r="AJ145" s="83">
        <v>105</v>
      </c>
      <c r="AK145" s="83">
        <v>101</v>
      </c>
      <c r="AL145" s="83">
        <v>99</v>
      </c>
      <c r="AM145" s="83">
        <v>102</v>
      </c>
      <c r="AN145" s="83">
        <v>104</v>
      </c>
      <c r="AO145" s="83">
        <v>110</v>
      </c>
      <c r="AP145" s="83">
        <v>101</v>
      </c>
      <c r="AQ145" s="83">
        <v>106</v>
      </c>
      <c r="AR145" s="83">
        <v>99</v>
      </c>
      <c r="AS145" s="83">
        <v>95</v>
      </c>
      <c r="AT145" s="83">
        <v>90</v>
      </c>
      <c r="AU145" s="83">
        <v>91</v>
      </c>
      <c r="AV145" s="83">
        <v>86</v>
      </c>
      <c r="AW145" s="83">
        <v>85</v>
      </c>
    </row>
    <row r="146" spans="1:51" x14ac:dyDescent="0.15">
      <c r="A146" s="83">
        <v>20200315</v>
      </c>
      <c r="B146" s="83">
        <v>52</v>
      </c>
      <c r="C146" s="83">
        <v>38</v>
      </c>
      <c r="D146" s="83">
        <v>36</v>
      </c>
      <c r="E146" s="83">
        <v>33</v>
      </c>
      <c r="F146" s="83">
        <v>33</v>
      </c>
      <c r="G146" s="83">
        <v>37</v>
      </c>
      <c r="H146" s="83">
        <v>36</v>
      </c>
      <c r="I146" s="83">
        <v>32</v>
      </c>
      <c r="J146" s="83">
        <v>31</v>
      </c>
      <c r="K146" s="83">
        <v>49</v>
      </c>
      <c r="L146" s="83">
        <v>73</v>
      </c>
      <c r="M146" s="83">
        <v>67</v>
      </c>
      <c r="N146" s="83">
        <v>91</v>
      </c>
      <c r="O146" s="83">
        <v>87</v>
      </c>
      <c r="P146" s="83">
        <v>111</v>
      </c>
      <c r="Q146" s="83">
        <v>111</v>
      </c>
      <c r="R146" s="83">
        <v>111</v>
      </c>
      <c r="S146" s="83">
        <v>125</v>
      </c>
      <c r="T146" s="83">
        <v>121</v>
      </c>
      <c r="U146" s="83">
        <v>116</v>
      </c>
      <c r="V146" s="83">
        <v>119</v>
      </c>
      <c r="W146" s="83">
        <v>119</v>
      </c>
      <c r="X146" s="83">
        <v>114</v>
      </c>
      <c r="Y146" s="83">
        <v>124</v>
      </c>
      <c r="Z146" s="83">
        <v>119</v>
      </c>
      <c r="AA146" s="83">
        <v>121</v>
      </c>
      <c r="AB146" s="83">
        <v>119</v>
      </c>
      <c r="AC146" s="83">
        <v>120</v>
      </c>
      <c r="AD146" s="83">
        <v>113</v>
      </c>
      <c r="AE146" s="83">
        <v>126</v>
      </c>
      <c r="AF146" s="83">
        <v>115</v>
      </c>
      <c r="AG146" s="83">
        <v>116</v>
      </c>
      <c r="AH146" s="83">
        <v>108</v>
      </c>
      <c r="AI146" s="83">
        <v>108</v>
      </c>
      <c r="AJ146" s="83">
        <v>102</v>
      </c>
      <c r="AK146" s="83">
        <v>104</v>
      </c>
      <c r="AL146" s="83">
        <v>98</v>
      </c>
      <c r="AM146" s="83">
        <v>104</v>
      </c>
      <c r="AN146" s="83">
        <v>103</v>
      </c>
      <c r="AO146" s="83">
        <v>105</v>
      </c>
      <c r="AP146" s="83">
        <v>95</v>
      </c>
      <c r="AQ146" s="83">
        <v>102</v>
      </c>
      <c r="AR146" s="83">
        <v>97</v>
      </c>
      <c r="AS146" s="83">
        <v>94</v>
      </c>
      <c r="AT146" s="83">
        <v>91</v>
      </c>
      <c r="AU146" s="83">
        <v>86</v>
      </c>
      <c r="AV146" s="83">
        <v>90</v>
      </c>
      <c r="AW146" s="83">
        <v>88</v>
      </c>
    </row>
    <row r="147" spans="1:51" x14ac:dyDescent="0.15">
      <c r="A147" s="83">
        <v>20200316</v>
      </c>
      <c r="B147" s="83">
        <v>59</v>
      </c>
      <c r="C147" s="83">
        <v>39</v>
      </c>
      <c r="D147" s="83">
        <v>38</v>
      </c>
      <c r="E147" s="83">
        <v>34</v>
      </c>
      <c r="F147" s="83">
        <v>35</v>
      </c>
      <c r="G147" s="83">
        <v>39</v>
      </c>
      <c r="H147" s="83">
        <v>38</v>
      </c>
      <c r="I147" s="83">
        <v>34</v>
      </c>
      <c r="J147" s="83">
        <v>32</v>
      </c>
      <c r="K147" s="83">
        <v>32</v>
      </c>
      <c r="L147" s="83">
        <v>32</v>
      </c>
      <c r="M147" s="83">
        <v>45</v>
      </c>
      <c r="N147" s="83">
        <v>91</v>
      </c>
      <c r="O147" s="83">
        <v>75</v>
      </c>
      <c r="P147" s="83">
        <v>92</v>
      </c>
      <c r="Q147" s="83">
        <v>94</v>
      </c>
      <c r="R147" s="83">
        <v>105</v>
      </c>
      <c r="S147" s="83">
        <v>118</v>
      </c>
      <c r="T147" s="83">
        <v>118</v>
      </c>
      <c r="U147" s="83">
        <v>106</v>
      </c>
      <c r="V147" s="83">
        <v>107</v>
      </c>
      <c r="W147" s="83">
        <v>114</v>
      </c>
      <c r="X147" s="83">
        <v>111</v>
      </c>
      <c r="Y147" s="83">
        <v>110</v>
      </c>
      <c r="Z147" s="83">
        <v>112</v>
      </c>
      <c r="AA147" s="83">
        <v>112</v>
      </c>
      <c r="AB147" s="83">
        <v>109</v>
      </c>
      <c r="AC147" s="83">
        <v>114</v>
      </c>
      <c r="AD147" s="83">
        <v>107</v>
      </c>
      <c r="AE147" s="83">
        <v>112</v>
      </c>
      <c r="AF147" s="83">
        <v>108</v>
      </c>
      <c r="AG147" s="83">
        <v>103</v>
      </c>
      <c r="AH147" s="83">
        <v>100</v>
      </c>
      <c r="AI147" s="83">
        <v>99</v>
      </c>
      <c r="AJ147" s="83">
        <v>96</v>
      </c>
      <c r="AK147" s="83">
        <v>98</v>
      </c>
      <c r="AL147" s="83">
        <v>97</v>
      </c>
      <c r="AM147" s="83">
        <v>97</v>
      </c>
      <c r="AN147" s="83">
        <v>95</v>
      </c>
      <c r="AO147" s="83">
        <v>93</v>
      </c>
      <c r="AP147" s="83">
        <v>90</v>
      </c>
      <c r="AQ147" s="83">
        <v>98</v>
      </c>
      <c r="AR147" s="83">
        <v>93</v>
      </c>
      <c r="AS147" s="83">
        <v>90</v>
      </c>
      <c r="AT147" s="83">
        <v>86</v>
      </c>
      <c r="AU147" s="83">
        <v>85</v>
      </c>
      <c r="AV147" s="83">
        <v>87</v>
      </c>
      <c r="AW147" s="83">
        <v>82</v>
      </c>
    </row>
    <row r="148" spans="1:51" x14ac:dyDescent="0.15">
      <c r="A148" s="83">
        <v>20200317</v>
      </c>
      <c r="B148" s="83">
        <v>52</v>
      </c>
      <c r="C148" s="83">
        <v>37</v>
      </c>
      <c r="D148" s="83">
        <v>37</v>
      </c>
      <c r="E148" s="83">
        <v>32</v>
      </c>
      <c r="F148" s="83">
        <v>34</v>
      </c>
      <c r="G148" s="83">
        <v>37</v>
      </c>
      <c r="H148" s="83">
        <v>36</v>
      </c>
      <c r="I148" s="83">
        <v>34</v>
      </c>
      <c r="J148" s="83">
        <v>32</v>
      </c>
      <c r="K148" s="83">
        <v>30</v>
      </c>
      <c r="L148" s="83">
        <v>32</v>
      </c>
      <c r="M148" s="83">
        <v>46</v>
      </c>
      <c r="N148" s="83">
        <v>100</v>
      </c>
      <c r="O148" s="83">
        <v>82</v>
      </c>
      <c r="P148" s="83">
        <v>104</v>
      </c>
      <c r="Q148" s="83">
        <v>105</v>
      </c>
      <c r="R148" s="83">
        <v>107</v>
      </c>
      <c r="S148" s="83">
        <v>115</v>
      </c>
      <c r="T148" s="83">
        <v>125</v>
      </c>
      <c r="U148" s="83">
        <v>118</v>
      </c>
      <c r="V148" s="83">
        <v>115</v>
      </c>
      <c r="W148" s="83">
        <v>115</v>
      </c>
      <c r="X148" s="83">
        <v>114</v>
      </c>
      <c r="Y148" s="83">
        <v>115</v>
      </c>
      <c r="Z148" s="83">
        <v>115</v>
      </c>
      <c r="AA148" s="83">
        <v>120</v>
      </c>
      <c r="AB148" s="83">
        <v>114</v>
      </c>
      <c r="AC148" s="83">
        <v>113</v>
      </c>
      <c r="AD148" s="83">
        <v>110</v>
      </c>
      <c r="AE148" s="83">
        <v>119</v>
      </c>
      <c r="AF148" s="83">
        <v>113</v>
      </c>
      <c r="AG148" s="83">
        <v>112</v>
      </c>
      <c r="AH148" s="83">
        <v>113</v>
      </c>
      <c r="AI148" s="83">
        <v>105</v>
      </c>
      <c r="AJ148" s="83">
        <v>105</v>
      </c>
      <c r="AK148" s="83">
        <v>102</v>
      </c>
      <c r="AL148" s="83">
        <v>106</v>
      </c>
      <c r="AM148" s="83">
        <v>104</v>
      </c>
      <c r="AN148" s="83">
        <v>102</v>
      </c>
      <c r="AO148" s="83">
        <v>101</v>
      </c>
      <c r="AP148" s="83">
        <v>97</v>
      </c>
      <c r="AQ148" s="83">
        <v>101</v>
      </c>
      <c r="AR148" s="83">
        <v>100</v>
      </c>
      <c r="AS148" s="83">
        <v>93</v>
      </c>
      <c r="AT148" s="83">
        <v>92</v>
      </c>
      <c r="AU148" s="83">
        <v>92</v>
      </c>
      <c r="AV148" s="83">
        <v>85</v>
      </c>
      <c r="AW148" s="83">
        <v>88</v>
      </c>
    </row>
    <row r="149" spans="1:51" x14ac:dyDescent="0.15">
      <c r="A149" s="83">
        <v>20200318</v>
      </c>
      <c r="B149" s="83">
        <v>59</v>
      </c>
      <c r="C149" s="83">
        <v>39</v>
      </c>
      <c r="D149" s="83">
        <v>37</v>
      </c>
      <c r="E149" s="83">
        <v>35</v>
      </c>
      <c r="F149" s="83">
        <v>35</v>
      </c>
      <c r="G149" s="83">
        <v>39</v>
      </c>
      <c r="H149" s="83">
        <v>38</v>
      </c>
      <c r="I149" s="83">
        <v>36</v>
      </c>
      <c r="J149" s="83">
        <v>33</v>
      </c>
      <c r="K149" s="83">
        <v>32</v>
      </c>
      <c r="L149" s="83">
        <v>32</v>
      </c>
      <c r="M149" s="83">
        <v>44</v>
      </c>
      <c r="N149" s="83">
        <v>107</v>
      </c>
      <c r="O149" s="83">
        <v>89</v>
      </c>
      <c r="P149" s="83">
        <v>99</v>
      </c>
      <c r="Q149" s="83">
        <v>108</v>
      </c>
      <c r="R149" s="83">
        <v>103</v>
      </c>
      <c r="S149" s="83">
        <v>112</v>
      </c>
      <c r="T149" s="83">
        <v>118</v>
      </c>
      <c r="U149" s="83">
        <v>113</v>
      </c>
      <c r="V149" s="83">
        <v>114</v>
      </c>
      <c r="W149" s="83">
        <v>115</v>
      </c>
      <c r="X149" s="83">
        <v>111</v>
      </c>
      <c r="Y149" s="83">
        <v>112</v>
      </c>
      <c r="Z149" s="83">
        <v>117</v>
      </c>
      <c r="AA149" s="83">
        <v>119</v>
      </c>
      <c r="AB149" s="83">
        <v>120</v>
      </c>
      <c r="AC149" s="83">
        <v>119</v>
      </c>
      <c r="AD149" s="83">
        <v>117</v>
      </c>
      <c r="AE149" s="83">
        <v>126</v>
      </c>
      <c r="AF149" s="83">
        <v>116</v>
      </c>
      <c r="AG149" s="83">
        <v>113</v>
      </c>
      <c r="AH149" s="83">
        <v>108</v>
      </c>
      <c r="AI149" s="83">
        <v>108</v>
      </c>
      <c r="AJ149" s="83">
        <v>107</v>
      </c>
      <c r="AK149" s="83">
        <v>109</v>
      </c>
      <c r="AL149" s="83">
        <v>102</v>
      </c>
      <c r="AM149" s="83">
        <v>109</v>
      </c>
      <c r="AN149" s="83">
        <v>103</v>
      </c>
      <c r="AO149" s="83">
        <v>109</v>
      </c>
      <c r="AP149" s="83">
        <v>102</v>
      </c>
      <c r="AQ149" s="83">
        <v>102</v>
      </c>
      <c r="AR149" s="83">
        <v>101</v>
      </c>
      <c r="AS149" s="83">
        <v>95</v>
      </c>
      <c r="AT149" s="83">
        <v>93</v>
      </c>
      <c r="AU149" s="83">
        <v>90</v>
      </c>
      <c r="AV149" s="83">
        <v>90</v>
      </c>
      <c r="AW149" s="83">
        <v>87</v>
      </c>
    </row>
    <row r="150" spans="1:51" x14ac:dyDescent="0.15">
      <c r="A150" s="83">
        <v>20200319</v>
      </c>
      <c r="B150" s="83">
        <v>57</v>
      </c>
      <c r="C150" s="83">
        <v>39</v>
      </c>
      <c r="D150" s="83">
        <v>37</v>
      </c>
      <c r="E150" s="83">
        <v>34</v>
      </c>
      <c r="F150" s="83">
        <v>35</v>
      </c>
      <c r="G150" s="83">
        <v>39</v>
      </c>
      <c r="H150" s="83">
        <v>37</v>
      </c>
      <c r="I150" s="83">
        <v>34</v>
      </c>
      <c r="J150" s="83">
        <v>32</v>
      </c>
      <c r="K150" s="83">
        <v>32</v>
      </c>
      <c r="L150" s="83">
        <v>54</v>
      </c>
      <c r="M150" s="83">
        <v>66</v>
      </c>
      <c r="N150" s="83">
        <v>82</v>
      </c>
      <c r="O150" s="83">
        <v>84</v>
      </c>
      <c r="P150" s="83">
        <v>106</v>
      </c>
      <c r="Q150" s="83">
        <v>106</v>
      </c>
      <c r="R150" s="83">
        <v>110</v>
      </c>
      <c r="S150" s="83">
        <v>120</v>
      </c>
      <c r="T150" s="83">
        <v>130</v>
      </c>
      <c r="U150" s="83">
        <v>121</v>
      </c>
      <c r="V150" s="83">
        <v>117</v>
      </c>
      <c r="W150" s="83">
        <v>123</v>
      </c>
      <c r="X150" s="83">
        <v>123</v>
      </c>
      <c r="Y150" s="83">
        <v>122</v>
      </c>
      <c r="Z150" s="83">
        <v>123</v>
      </c>
      <c r="AA150" s="83">
        <v>127</v>
      </c>
      <c r="AB150" s="83">
        <v>123</v>
      </c>
      <c r="AC150" s="83">
        <v>118</v>
      </c>
      <c r="AD150" s="83">
        <v>111</v>
      </c>
      <c r="AE150" s="83">
        <v>124</v>
      </c>
      <c r="AF150" s="83">
        <v>128</v>
      </c>
      <c r="AG150" s="83">
        <v>120</v>
      </c>
      <c r="AH150" s="83">
        <v>120</v>
      </c>
      <c r="AI150" s="83">
        <v>118</v>
      </c>
      <c r="AJ150" s="83">
        <v>115</v>
      </c>
      <c r="AK150" s="83">
        <v>111</v>
      </c>
      <c r="AL150" s="83">
        <v>106</v>
      </c>
      <c r="AM150" s="83">
        <v>113</v>
      </c>
      <c r="AN150" s="83">
        <v>108</v>
      </c>
      <c r="AO150" s="83">
        <v>111</v>
      </c>
      <c r="AP150" s="83">
        <v>108</v>
      </c>
      <c r="AQ150" s="83">
        <v>111</v>
      </c>
      <c r="AR150" s="83">
        <v>107</v>
      </c>
      <c r="AS150" s="83">
        <v>103</v>
      </c>
      <c r="AT150" s="83">
        <v>99</v>
      </c>
      <c r="AU150" s="83">
        <v>98</v>
      </c>
      <c r="AV150" s="83">
        <v>95</v>
      </c>
      <c r="AW150" s="83">
        <v>92</v>
      </c>
      <c r="AX150" s="74"/>
      <c r="AY150" s="74"/>
    </row>
    <row r="151" spans="1:51" x14ac:dyDescent="0.15">
      <c r="A151" s="83">
        <v>20200320</v>
      </c>
      <c r="B151" s="83">
        <v>60</v>
      </c>
      <c r="C151" s="83">
        <v>42</v>
      </c>
      <c r="D151" s="83">
        <v>42</v>
      </c>
      <c r="E151" s="83">
        <v>38</v>
      </c>
      <c r="F151" s="83">
        <v>39</v>
      </c>
      <c r="G151" s="83">
        <v>43</v>
      </c>
      <c r="H151" s="83">
        <v>40</v>
      </c>
      <c r="I151" s="83">
        <v>39</v>
      </c>
      <c r="J151" s="83">
        <v>36</v>
      </c>
      <c r="K151" s="83">
        <v>34</v>
      </c>
      <c r="L151" s="83">
        <v>64</v>
      </c>
      <c r="M151" s="83">
        <v>63</v>
      </c>
      <c r="N151" s="83">
        <v>79</v>
      </c>
      <c r="O151" s="83">
        <v>90</v>
      </c>
      <c r="P151" s="83">
        <v>109</v>
      </c>
      <c r="Q151" s="83">
        <v>110</v>
      </c>
      <c r="R151" s="83">
        <v>109</v>
      </c>
      <c r="S151" s="83">
        <v>112</v>
      </c>
      <c r="T151" s="83">
        <v>125</v>
      </c>
      <c r="U151" s="83">
        <v>115</v>
      </c>
      <c r="V151" s="83">
        <v>113</v>
      </c>
      <c r="W151" s="83">
        <v>113</v>
      </c>
      <c r="X151" s="83">
        <v>116</v>
      </c>
      <c r="Y151" s="83">
        <v>115</v>
      </c>
      <c r="Z151" s="83">
        <v>119</v>
      </c>
      <c r="AA151" s="83">
        <v>121</v>
      </c>
      <c r="AB151" s="83">
        <v>117</v>
      </c>
      <c r="AC151" s="83">
        <v>117</v>
      </c>
      <c r="AD151" s="83">
        <v>113</v>
      </c>
      <c r="AE151" s="83">
        <v>122</v>
      </c>
      <c r="AF151" s="83">
        <v>119</v>
      </c>
      <c r="AG151" s="83">
        <v>111</v>
      </c>
      <c r="AH151" s="83">
        <v>115</v>
      </c>
      <c r="AI151" s="83">
        <v>108</v>
      </c>
      <c r="AJ151" s="83">
        <v>104</v>
      </c>
      <c r="AK151" s="83">
        <v>107</v>
      </c>
      <c r="AL151" s="83">
        <v>104</v>
      </c>
      <c r="AM151" s="83">
        <v>107</v>
      </c>
      <c r="AN151" s="83">
        <v>100</v>
      </c>
      <c r="AO151" s="83">
        <v>102</v>
      </c>
      <c r="AP151" s="83">
        <v>96</v>
      </c>
      <c r="AQ151" s="83">
        <v>100</v>
      </c>
      <c r="AR151" s="83">
        <v>99</v>
      </c>
      <c r="AS151" s="83">
        <v>95</v>
      </c>
      <c r="AT151" s="83">
        <v>93</v>
      </c>
      <c r="AU151" s="83">
        <v>90</v>
      </c>
      <c r="AV151" s="83">
        <v>89</v>
      </c>
      <c r="AW151" s="83">
        <v>90</v>
      </c>
    </row>
    <row r="152" spans="1:51" x14ac:dyDescent="0.15">
      <c r="A152" s="83">
        <v>20200321</v>
      </c>
      <c r="B152" s="83">
        <v>61</v>
      </c>
      <c r="C152" s="83">
        <v>40</v>
      </c>
      <c r="D152" s="83">
        <v>39</v>
      </c>
      <c r="E152" s="83">
        <v>36</v>
      </c>
      <c r="F152" s="83">
        <v>36</v>
      </c>
      <c r="G152" s="83">
        <v>41</v>
      </c>
      <c r="H152" s="83">
        <v>39</v>
      </c>
      <c r="I152" s="83">
        <v>38</v>
      </c>
      <c r="J152" s="83">
        <v>35</v>
      </c>
      <c r="K152" s="83">
        <v>34</v>
      </c>
      <c r="L152" s="83">
        <v>34</v>
      </c>
      <c r="M152" s="83">
        <v>54</v>
      </c>
      <c r="N152" s="83">
        <v>83</v>
      </c>
      <c r="O152" s="83">
        <v>82</v>
      </c>
      <c r="P152" s="83">
        <v>102</v>
      </c>
      <c r="Q152" s="83">
        <v>108</v>
      </c>
      <c r="R152" s="83">
        <v>108</v>
      </c>
      <c r="S152" s="83">
        <v>125</v>
      </c>
      <c r="T152" s="83">
        <v>128</v>
      </c>
      <c r="U152" s="83">
        <v>122</v>
      </c>
      <c r="V152" s="83">
        <v>118</v>
      </c>
      <c r="W152" s="83">
        <v>126</v>
      </c>
      <c r="X152" s="83">
        <v>120</v>
      </c>
      <c r="Y152" s="83">
        <v>124</v>
      </c>
      <c r="Z152" s="83">
        <v>119</v>
      </c>
      <c r="AA152" s="83">
        <v>126</v>
      </c>
      <c r="AB152" s="83">
        <v>118</v>
      </c>
      <c r="AC152" s="83">
        <v>121</v>
      </c>
      <c r="AD152" s="83">
        <v>115</v>
      </c>
      <c r="AE152" s="83">
        <v>120</v>
      </c>
      <c r="AF152" s="83">
        <v>119</v>
      </c>
      <c r="AG152" s="83">
        <v>115</v>
      </c>
      <c r="AH152" s="83">
        <v>112</v>
      </c>
      <c r="AI152" s="83">
        <v>110</v>
      </c>
      <c r="AJ152" s="83">
        <v>109</v>
      </c>
      <c r="AK152" s="83">
        <v>111</v>
      </c>
      <c r="AL152" s="83">
        <v>105</v>
      </c>
      <c r="AM152" s="83">
        <v>106</v>
      </c>
      <c r="AN152" s="83">
        <v>102</v>
      </c>
      <c r="AO152" s="83">
        <v>105</v>
      </c>
      <c r="AP152" s="83">
        <v>100</v>
      </c>
      <c r="AQ152" s="83">
        <v>105</v>
      </c>
      <c r="AR152" s="83">
        <v>102</v>
      </c>
      <c r="AS152" s="83">
        <v>99</v>
      </c>
      <c r="AT152" s="83">
        <v>98</v>
      </c>
      <c r="AU152" s="83">
        <v>97</v>
      </c>
      <c r="AV152" s="83">
        <v>96</v>
      </c>
      <c r="AW152" s="83">
        <v>93</v>
      </c>
    </row>
    <row r="153" spans="1:51" x14ac:dyDescent="0.15">
      <c r="A153" s="83">
        <v>20200322</v>
      </c>
      <c r="B153" s="83">
        <v>59</v>
      </c>
      <c r="C153" s="83">
        <v>41</v>
      </c>
      <c r="D153" s="83">
        <v>41</v>
      </c>
      <c r="E153" s="83">
        <v>38</v>
      </c>
      <c r="F153" s="83">
        <v>38</v>
      </c>
      <c r="G153" s="83">
        <v>42</v>
      </c>
      <c r="H153" s="83">
        <v>41</v>
      </c>
      <c r="I153" s="83">
        <v>39</v>
      </c>
      <c r="J153" s="83">
        <v>36</v>
      </c>
      <c r="K153" s="83">
        <v>44</v>
      </c>
      <c r="L153" s="83">
        <v>80</v>
      </c>
      <c r="M153" s="83">
        <v>74</v>
      </c>
      <c r="N153" s="83">
        <v>84</v>
      </c>
      <c r="O153" s="83">
        <v>96</v>
      </c>
      <c r="P153" s="83">
        <v>109</v>
      </c>
      <c r="Q153" s="83">
        <v>108</v>
      </c>
      <c r="R153" s="83">
        <v>104</v>
      </c>
      <c r="S153" s="83">
        <v>119</v>
      </c>
      <c r="T153" s="83">
        <v>126</v>
      </c>
      <c r="U153" s="83">
        <v>123</v>
      </c>
      <c r="V153" s="83">
        <v>121</v>
      </c>
      <c r="W153" s="83">
        <v>119</v>
      </c>
      <c r="X153" s="83">
        <v>116</v>
      </c>
      <c r="Y153" s="83">
        <v>121</v>
      </c>
      <c r="Z153" s="83">
        <v>116</v>
      </c>
      <c r="AA153" s="83">
        <v>124</v>
      </c>
      <c r="AB153" s="83">
        <v>122</v>
      </c>
      <c r="AC153" s="83">
        <v>116</v>
      </c>
      <c r="AD153" s="83">
        <v>118</v>
      </c>
      <c r="AE153" s="83">
        <v>121</v>
      </c>
      <c r="AF153" s="83">
        <v>122</v>
      </c>
      <c r="AG153" s="83">
        <v>118</v>
      </c>
      <c r="AH153" s="83">
        <v>114</v>
      </c>
      <c r="AI153" s="83">
        <v>110</v>
      </c>
      <c r="AJ153" s="83">
        <v>114</v>
      </c>
      <c r="AK153" s="83">
        <v>110</v>
      </c>
      <c r="AL153" s="83">
        <v>99</v>
      </c>
      <c r="AM153" s="83">
        <v>108</v>
      </c>
      <c r="AN153" s="83">
        <v>100</v>
      </c>
      <c r="AO153" s="83">
        <v>105</v>
      </c>
      <c r="AP153" s="83">
        <v>102</v>
      </c>
      <c r="AQ153" s="83">
        <v>103</v>
      </c>
      <c r="AR153" s="83">
        <v>102</v>
      </c>
      <c r="AS153" s="83">
        <v>99</v>
      </c>
      <c r="AT153" s="83">
        <v>94</v>
      </c>
      <c r="AU153" s="83">
        <v>94</v>
      </c>
      <c r="AV153" s="83">
        <v>92</v>
      </c>
      <c r="AW153" s="83">
        <v>89</v>
      </c>
    </row>
    <row r="154" spans="1:51" x14ac:dyDescent="0.15">
      <c r="A154" s="83">
        <v>20200323</v>
      </c>
      <c r="B154" s="83">
        <v>59</v>
      </c>
      <c r="C154" s="83">
        <v>41</v>
      </c>
      <c r="D154" s="83">
        <v>38</v>
      </c>
      <c r="E154" s="83">
        <v>36</v>
      </c>
      <c r="F154" s="83">
        <v>36</v>
      </c>
      <c r="G154" s="83">
        <v>38</v>
      </c>
      <c r="H154" s="83">
        <v>38</v>
      </c>
      <c r="I154" s="83">
        <v>36</v>
      </c>
      <c r="J154" s="83">
        <v>32</v>
      </c>
      <c r="K154" s="83">
        <v>31</v>
      </c>
      <c r="L154" s="83">
        <v>31</v>
      </c>
      <c r="M154" s="83">
        <v>46</v>
      </c>
      <c r="N154" s="83">
        <v>98</v>
      </c>
      <c r="O154" s="83">
        <v>90</v>
      </c>
      <c r="P154" s="83">
        <v>99</v>
      </c>
      <c r="Q154" s="83">
        <v>104</v>
      </c>
      <c r="R154" s="83">
        <v>113</v>
      </c>
      <c r="S154" s="83">
        <v>120</v>
      </c>
      <c r="T154" s="83">
        <v>122</v>
      </c>
      <c r="U154" s="83">
        <v>120</v>
      </c>
      <c r="V154" s="83">
        <v>117</v>
      </c>
      <c r="W154" s="83">
        <v>110</v>
      </c>
      <c r="X154" s="83">
        <v>115</v>
      </c>
      <c r="Y154" s="83">
        <v>112</v>
      </c>
      <c r="Z154" s="83">
        <v>112</v>
      </c>
      <c r="AA154" s="83">
        <v>119</v>
      </c>
      <c r="AB154" s="83">
        <v>114</v>
      </c>
      <c r="AC154" s="83">
        <v>115</v>
      </c>
      <c r="AD154" s="83">
        <v>111</v>
      </c>
      <c r="AE154" s="83">
        <v>123</v>
      </c>
      <c r="AF154" s="83">
        <v>115</v>
      </c>
      <c r="AG154" s="83">
        <v>112</v>
      </c>
      <c r="AH154" s="83">
        <v>107</v>
      </c>
      <c r="AI154" s="83">
        <v>100</v>
      </c>
      <c r="AJ154" s="83">
        <v>101</v>
      </c>
      <c r="AK154" s="83">
        <v>102</v>
      </c>
      <c r="AL154" s="83">
        <v>97</v>
      </c>
      <c r="AM154" s="83">
        <v>103</v>
      </c>
      <c r="AN154" s="83">
        <v>102</v>
      </c>
      <c r="AO154" s="83">
        <v>104</v>
      </c>
      <c r="AP154" s="83">
        <v>104</v>
      </c>
      <c r="AQ154" s="83">
        <v>104</v>
      </c>
      <c r="AR154" s="83">
        <v>99</v>
      </c>
      <c r="AS154" s="83">
        <v>94</v>
      </c>
      <c r="AT154" s="83">
        <v>93</v>
      </c>
      <c r="AU154" s="83">
        <v>88</v>
      </c>
      <c r="AV154" s="83">
        <v>85</v>
      </c>
      <c r="AW154" s="83">
        <v>82</v>
      </c>
    </row>
    <row r="155" spans="1:51" x14ac:dyDescent="0.15">
      <c r="A155" s="83">
        <v>20200324</v>
      </c>
      <c r="B155" s="83">
        <v>55</v>
      </c>
      <c r="C155" s="83">
        <v>40</v>
      </c>
      <c r="D155" s="83">
        <v>38</v>
      </c>
      <c r="E155" s="83">
        <v>36</v>
      </c>
      <c r="F155" s="83">
        <v>37</v>
      </c>
      <c r="G155" s="83">
        <v>39</v>
      </c>
      <c r="H155" s="83">
        <v>38</v>
      </c>
      <c r="I155" s="83">
        <v>36</v>
      </c>
      <c r="J155" s="83">
        <v>35</v>
      </c>
      <c r="K155" s="83">
        <v>34</v>
      </c>
      <c r="L155" s="83">
        <v>35</v>
      </c>
      <c r="M155" s="83">
        <v>61</v>
      </c>
      <c r="N155" s="83">
        <v>93</v>
      </c>
      <c r="O155" s="83">
        <v>86</v>
      </c>
      <c r="P155" s="83">
        <v>102</v>
      </c>
      <c r="Q155" s="83">
        <v>104</v>
      </c>
      <c r="R155" s="83">
        <v>104</v>
      </c>
      <c r="S155" s="83">
        <v>111</v>
      </c>
      <c r="T155" s="83">
        <v>130</v>
      </c>
      <c r="U155" s="83">
        <v>111</v>
      </c>
      <c r="V155" s="83">
        <v>113</v>
      </c>
      <c r="W155" s="83">
        <v>105</v>
      </c>
      <c r="X155" s="83">
        <v>116</v>
      </c>
      <c r="Y155" s="83">
        <v>113</v>
      </c>
      <c r="Z155" s="83">
        <v>118</v>
      </c>
      <c r="AA155" s="83">
        <v>114</v>
      </c>
      <c r="AB155" s="83">
        <v>118</v>
      </c>
      <c r="AC155" s="83">
        <v>113</v>
      </c>
      <c r="AD155" s="83">
        <v>105</v>
      </c>
      <c r="AE155" s="83">
        <v>116</v>
      </c>
      <c r="AF155" s="83">
        <v>109</v>
      </c>
      <c r="AG155" s="83">
        <v>113</v>
      </c>
      <c r="AH155" s="83">
        <v>105</v>
      </c>
      <c r="AI155" s="83">
        <v>102</v>
      </c>
      <c r="AJ155" s="83">
        <v>101</v>
      </c>
      <c r="AK155" s="83">
        <v>105</v>
      </c>
      <c r="AL155" s="83">
        <v>103</v>
      </c>
      <c r="AM155" s="83">
        <v>108</v>
      </c>
      <c r="AN155" s="83">
        <v>106</v>
      </c>
      <c r="AO155" s="83">
        <v>102</v>
      </c>
      <c r="AP155" s="83">
        <v>95</v>
      </c>
      <c r="AQ155" s="83">
        <v>105</v>
      </c>
      <c r="AR155" s="83">
        <v>95</v>
      </c>
      <c r="AS155" s="83">
        <v>93</v>
      </c>
      <c r="AT155" s="83">
        <v>89</v>
      </c>
      <c r="AU155" s="83">
        <v>88</v>
      </c>
      <c r="AV155" s="83">
        <v>89</v>
      </c>
      <c r="AW155" s="83">
        <v>83</v>
      </c>
    </row>
    <row r="156" spans="1:51" x14ac:dyDescent="0.15">
      <c r="A156" s="83">
        <v>20200325</v>
      </c>
      <c r="B156" s="83">
        <v>56</v>
      </c>
      <c r="C156" s="83">
        <v>38</v>
      </c>
      <c r="D156" s="83">
        <v>37</v>
      </c>
      <c r="E156" s="83">
        <v>32</v>
      </c>
      <c r="F156" s="83">
        <v>34</v>
      </c>
      <c r="G156" s="83">
        <v>37</v>
      </c>
      <c r="H156" s="83">
        <v>34</v>
      </c>
      <c r="I156" s="83">
        <v>34</v>
      </c>
      <c r="J156" s="83">
        <v>31</v>
      </c>
      <c r="K156" s="83">
        <v>30</v>
      </c>
      <c r="L156" s="83">
        <v>30</v>
      </c>
      <c r="M156" s="83">
        <v>41</v>
      </c>
      <c r="N156" s="83">
        <v>101</v>
      </c>
      <c r="O156" s="83">
        <v>89</v>
      </c>
      <c r="P156" s="83">
        <v>100</v>
      </c>
      <c r="Q156" s="83">
        <v>105</v>
      </c>
      <c r="R156" s="83">
        <v>106</v>
      </c>
      <c r="S156" s="83">
        <v>114</v>
      </c>
      <c r="T156" s="83">
        <v>114</v>
      </c>
      <c r="U156" s="83">
        <v>115</v>
      </c>
      <c r="V156" s="83">
        <v>114</v>
      </c>
      <c r="W156" s="83">
        <v>109</v>
      </c>
      <c r="X156" s="83">
        <v>115</v>
      </c>
      <c r="Y156" s="83">
        <v>111</v>
      </c>
      <c r="Z156" s="83">
        <v>116</v>
      </c>
      <c r="AA156" s="83">
        <v>118</v>
      </c>
      <c r="AB156" s="83">
        <v>115</v>
      </c>
      <c r="AC156" s="83">
        <v>113</v>
      </c>
      <c r="AD156" s="83">
        <v>107</v>
      </c>
      <c r="AE156" s="83">
        <v>118</v>
      </c>
      <c r="AF156" s="83">
        <v>115</v>
      </c>
      <c r="AG156" s="83">
        <v>109</v>
      </c>
      <c r="AH156" s="83">
        <v>107</v>
      </c>
      <c r="AI156" s="83">
        <v>103</v>
      </c>
      <c r="AJ156" s="83">
        <v>102</v>
      </c>
      <c r="AK156" s="83">
        <v>105</v>
      </c>
      <c r="AL156" s="83">
        <v>101</v>
      </c>
      <c r="AM156" s="83">
        <v>101</v>
      </c>
      <c r="AN156" s="83">
        <v>94</v>
      </c>
      <c r="AO156" s="83">
        <v>97</v>
      </c>
      <c r="AP156" s="83">
        <v>92</v>
      </c>
      <c r="AQ156" s="83">
        <v>98</v>
      </c>
      <c r="AR156" s="83">
        <v>97</v>
      </c>
      <c r="AS156" s="83">
        <v>91</v>
      </c>
      <c r="AT156" s="83">
        <v>90</v>
      </c>
      <c r="AU156" s="83">
        <v>89</v>
      </c>
      <c r="AV156" s="83">
        <v>86</v>
      </c>
      <c r="AW156" s="83">
        <v>85</v>
      </c>
    </row>
    <row r="157" spans="1:51" x14ac:dyDescent="0.15">
      <c r="A157" s="83">
        <v>20200326</v>
      </c>
      <c r="B157" s="83">
        <v>55</v>
      </c>
      <c r="C157" s="83">
        <v>38</v>
      </c>
      <c r="D157" s="83">
        <v>36</v>
      </c>
      <c r="E157" s="83">
        <v>32</v>
      </c>
      <c r="F157" s="83">
        <v>34</v>
      </c>
      <c r="G157" s="83">
        <v>36</v>
      </c>
      <c r="H157" s="83">
        <v>34</v>
      </c>
      <c r="I157" s="83">
        <v>33</v>
      </c>
      <c r="J157" s="83">
        <v>31</v>
      </c>
      <c r="K157" s="83">
        <v>31</v>
      </c>
      <c r="L157" s="83">
        <v>30</v>
      </c>
      <c r="M157" s="83">
        <v>39</v>
      </c>
      <c r="N157" s="83">
        <v>100</v>
      </c>
      <c r="O157" s="83">
        <v>85</v>
      </c>
      <c r="P157" s="83">
        <v>106</v>
      </c>
      <c r="Q157" s="83">
        <v>107</v>
      </c>
      <c r="R157" s="83">
        <v>110</v>
      </c>
      <c r="S157" s="83">
        <v>116</v>
      </c>
      <c r="T157" s="83">
        <v>123</v>
      </c>
      <c r="U157" s="83">
        <v>116</v>
      </c>
      <c r="V157" s="83">
        <v>118</v>
      </c>
      <c r="W157" s="83">
        <v>124</v>
      </c>
      <c r="X157" s="83">
        <v>122</v>
      </c>
      <c r="Y157" s="83">
        <v>119</v>
      </c>
      <c r="Z157" s="83">
        <v>115</v>
      </c>
      <c r="AA157" s="83">
        <v>118</v>
      </c>
      <c r="AB157" s="83">
        <v>119</v>
      </c>
      <c r="AC157" s="83">
        <v>118</v>
      </c>
      <c r="AD157" s="83">
        <v>116</v>
      </c>
      <c r="AE157" s="83">
        <v>117</v>
      </c>
      <c r="AF157" s="83">
        <v>119</v>
      </c>
      <c r="AG157" s="83">
        <v>112</v>
      </c>
      <c r="AH157" s="83">
        <v>107</v>
      </c>
      <c r="AI157" s="83">
        <v>107</v>
      </c>
      <c r="AJ157" s="83">
        <v>109</v>
      </c>
      <c r="AK157" s="83">
        <v>106</v>
      </c>
      <c r="AL157" s="83">
        <v>101</v>
      </c>
      <c r="AM157" s="83">
        <v>110</v>
      </c>
      <c r="AN157" s="83">
        <v>105</v>
      </c>
      <c r="AO157" s="83">
        <v>100</v>
      </c>
      <c r="AP157" s="83">
        <v>96</v>
      </c>
      <c r="AQ157" s="83">
        <v>101</v>
      </c>
      <c r="AR157" s="83">
        <v>95</v>
      </c>
      <c r="AS157" s="83">
        <v>94</v>
      </c>
      <c r="AT157" s="83">
        <v>92</v>
      </c>
      <c r="AU157" s="83">
        <v>91</v>
      </c>
      <c r="AV157" s="83">
        <v>87</v>
      </c>
      <c r="AW157" s="83">
        <v>85</v>
      </c>
    </row>
    <row r="158" spans="1:51" x14ac:dyDescent="0.15">
      <c r="A158" s="83">
        <v>20200327</v>
      </c>
      <c r="B158" s="83">
        <v>53</v>
      </c>
      <c r="C158" s="83">
        <v>39</v>
      </c>
      <c r="D158" s="83">
        <v>39</v>
      </c>
      <c r="E158" s="83">
        <v>34</v>
      </c>
      <c r="F158" s="83">
        <v>37</v>
      </c>
      <c r="G158" s="83">
        <v>39</v>
      </c>
      <c r="H158" s="83">
        <v>37</v>
      </c>
      <c r="I158" s="83">
        <v>37</v>
      </c>
      <c r="J158" s="83">
        <v>34</v>
      </c>
      <c r="K158" s="83">
        <v>34</v>
      </c>
      <c r="L158" s="83">
        <v>35</v>
      </c>
      <c r="M158" s="83">
        <v>44</v>
      </c>
      <c r="N158" s="83">
        <v>99</v>
      </c>
      <c r="O158" s="83">
        <v>91</v>
      </c>
      <c r="P158" s="83">
        <v>102</v>
      </c>
      <c r="Q158" s="83">
        <v>107</v>
      </c>
      <c r="R158" s="83">
        <v>110</v>
      </c>
      <c r="S158" s="83">
        <v>124</v>
      </c>
      <c r="T158" s="83">
        <v>122</v>
      </c>
      <c r="U158" s="83">
        <v>121</v>
      </c>
      <c r="V158" s="83">
        <v>117</v>
      </c>
      <c r="W158" s="83">
        <v>115</v>
      </c>
      <c r="X158" s="83">
        <v>117</v>
      </c>
      <c r="Y158" s="83">
        <v>113</v>
      </c>
      <c r="Z158" s="83">
        <v>116</v>
      </c>
      <c r="AA158" s="83">
        <v>124</v>
      </c>
      <c r="AB158" s="83">
        <v>116</v>
      </c>
      <c r="AC158" s="83">
        <v>117</v>
      </c>
      <c r="AD158" s="83">
        <v>109</v>
      </c>
      <c r="AE158" s="83">
        <v>118</v>
      </c>
      <c r="AF158" s="83">
        <v>112</v>
      </c>
      <c r="AG158" s="83">
        <v>113</v>
      </c>
      <c r="AH158" s="83">
        <v>108</v>
      </c>
      <c r="AI158" s="83">
        <v>111</v>
      </c>
      <c r="AJ158" s="83">
        <v>109</v>
      </c>
      <c r="AK158" s="83">
        <v>108</v>
      </c>
      <c r="AL158" s="83">
        <v>105</v>
      </c>
      <c r="AM158" s="83">
        <v>110</v>
      </c>
      <c r="AN158" s="83">
        <v>104</v>
      </c>
      <c r="AO158" s="83">
        <v>105</v>
      </c>
      <c r="AP158" s="83">
        <v>103</v>
      </c>
      <c r="AQ158" s="83">
        <v>110</v>
      </c>
      <c r="AR158" s="83">
        <v>108</v>
      </c>
      <c r="AS158" s="83">
        <v>104</v>
      </c>
      <c r="AT158" s="83">
        <v>98</v>
      </c>
      <c r="AU158" s="83">
        <v>97</v>
      </c>
      <c r="AV158" s="83">
        <v>96</v>
      </c>
      <c r="AW158" s="83">
        <v>89</v>
      </c>
    </row>
    <row r="159" spans="1:51" x14ac:dyDescent="0.15">
      <c r="A159" s="83">
        <v>20200328</v>
      </c>
      <c r="B159" s="83">
        <v>63</v>
      </c>
      <c r="C159" s="83">
        <v>43</v>
      </c>
      <c r="D159" s="83">
        <v>42</v>
      </c>
      <c r="E159" s="83">
        <v>39</v>
      </c>
      <c r="F159" s="83">
        <v>40</v>
      </c>
      <c r="G159" s="83">
        <v>42</v>
      </c>
      <c r="H159" s="83">
        <v>42</v>
      </c>
      <c r="I159" s="83">
        <v>39</v>
      </c>
      <c r="J159" s="83">
        <v>37</v>
      </c>
      <c r="K159" s="83">
        <v>36</v>
      </c>
      <c r="L159" s="83">
        <v>37</v>
      </c>
      <c r="M159" s="83">
        <v>46</v>
      </c>
      <c r="N159" s="83">
        <v>106</v>
      </c>
      <c r="O159" s="83">
        <v>98</v>
      </c>
      <c r="P159" s="83">
        <v>108</v>
      </c>
      <c r="Q159" s="83">
        <v>113</v>
      </c>
      <c r="R159" s="83">
        <v>110</v>
      </c>
      <c r="S159" s="83">
        <v>119</v>
      </c>
      <c r="T159" s="83">
        <v>133</v>
      </c>
      <c r="U159" s="83">
        <v>118</v>
      </c>
      <c r="V159" s="83">
        <v>117</v>
      </c>
      <c r="W159" s="83">
        <v>115</v>
      </c>
      <c r="X159" s="83">
        <v>116</v>
      </c>
      <c r="Y159" s="83">
        <v>119</v>
      </c>
      <c r="Z159" s="83">
        <v>111</v>
      </c>
      <c r="AA159" s="83">
        <v>118</v>
      </c>
      <c r="AB159" s="83">
        <v>114</v>
      </c>
      <c r="AC159" s="83">
        <v>117</v>
      </c>
      <c r="AD159" s="83">
        <v>110</v>
      </c>
      <c r="AE159" s="83">
        <v>119</v>
      </c>
      <c r="AF159" s="83">
        <v>116</v>
      </c>
      <c r="AG159" s="83">
        <v>119</v>
      </c>
      <c r="AH159" s="83">
        <v>109</v>
      </c>
      <c r="AI159" s="83">
        <v>108</v>
      </c>
      <c r="AJ159" s="83">
        <v>105</v>
      </c>
      <c r="AK159" s="83">
        <v>104</v>
      </c>
      <c r="AL159" s="83">
        <v>101</v>
      </c>
      <c r="AM159" s="83">
        <v>107</v>
      </c>
      <c r="AN159" s="83">
        <v>108</v>
      </c>
      <c r="AO159" s="83">
        <v>105</v>
      </c>
      <c r="AP159" s="83">
        <v>100</v>
      </c>
      <c r="AQ159" s="83">
        <v>105</v>
      </c>
      <c r="AR159" s="83">
        <v>101</v>
      </c>
      <c r="AS159" s="83">
        <v>95</v>
      </c>
      <c r="AT159" s="83">
        <v>92</v>
      </c>
      <c r="AU159" s="83">
        <v>89</v>
      </c>
      <c r="AV159" s="83">
        <v>87</v>
      </c>
      <c r="AW159" s="83">
        <v>86</v>
      </c>
    </row>
    <row r="160" spans="1:51" x14ac:dyDescent="0.15">
      <c r="A160" s="83">
        <v>20200329</v>
      </c>
      <c r="B160" s="83">
        <v>57</v>
      </c>
      <c r="C160" s="83">
        <v>38</v>
      </c>
      <c r="D160" s="83">
        <v>39</v>
      </c>
      <c r="E160" s="83">
        <v>34</v>
      </c>
      <c r="F160" s="83">
        <v>35</v>
      </c>
      <c r="G160" s="83">
        <v>40</v>
      </c>
      <c r="H160" s="83">
        <v>36</v>
      </c>
      <c r="I160" s="83">
        <v>35</v>
      </c>
      <c r="J160" s="83">
        <v>34</v>
      </c>
      <c r="K160" s="83">
        <v>33</v>
      </c>
      <c r="L160" s="83">
        <v>33</v>
      </c>
      <c r="M160" s="83">
        <v>44</v>
      </c>
      <c r="N160" s="83">
        <v>104</v>
      </c>
      <c r="O160" s="83">
        <v>87</v>
      </c>
      <c r="P160" s="83">
        <v>104</v>
      </c>
      <c r="Q160" s="83">
        <v>103</v>
      </c>
      <c r="R160" s="83">
        <v>107</v>
      </c>
      <c r="S160" s="83">
        <v>114</v>
      </c>
      <c r="T160" s="83">
        <v>118</v>
      </c>
      <c r="U160" s="83">
        <v>117</v>
      </c>
      <c r="V160" s="83">
        <v>115</v>
      </c>
      <c r="W160" s="83">
        <v>111</v>
      </c>
      <c r="X160" s="83">
        <v>115</v>
      </c>
      <c r="Y160" s="83">
        <v>116</v>
      </c>
      <c r="Z160" s="83">
        <v>112</v>
      </c>
      <c r="AA160" s="83">
        <v>118</v>
      </c>
      <c r="AB160" s="83">
        <v>113</v>
      </c>
      <c r="AC160" s="83">
        <v>121</v>
      </c>
      <c r="AD160" s="83">
        <v>120</v>
      </c>
      <c r="AE160" s="83">
        <v>120</v>
      </c>
      <c r="AF160" s="83">
        <v>112</v>
      </c>
      <c r="AG160" s="83">
        <v>112</v>
      </c>
      <c r="AH160" s="83">
        <v>108</v>
      </c>
      <c r="AI160" s="83">
        <v>104</v>
      </c>
      <c r="AJ160" s="83">
        <v>108</v>
      </c>
      <c r="AK160" s="83">
        <v>109</v>
      </c>
      <c r="AL160" s="83">
        <v>105</v>
      </c>
      <c r="AM160" s="83">
        <v>108</v>
      </c>
      <c r="AN160" s="83">
        <v>106</v>
      </c>
      <c r="AO160" s="83">
        <v>108</v>
      </c>
      <c r="AP160" s="83">
        <v>99</v>
      </c>
      <c r="AQ160" s="83">
        <v>103</v>
      </c>
      <c r="AR160" s="83">
        <v>96</v>
      </c>
      <c r="AS160" s="83">
        <v>95</v>
      </c>
      <c r="AT160" s="83">
        <v>89</v>
      </c>
      <c r="AU160" s="83">
        <v>89</v>
      </c>
      <c r="AV160" s="83">
        <v>90</v>
      </c>
      <c r="AW160" s="83">
        <v>83</v>
      </c>
    </row>
    <row r="161" spans="1:49" x14ac:dyDescent="0.15">
      <c r="A161" s="83">
        <v>20200330</v>
      </c>
      <c r="B161" s="83">
        <v>55</v>
      </c>
      <c r="C161" s="83">
        <v>38</v>
      </c>
      <c r="D161" s="83">
        <v>36</v>
      </c>
      <c r="E161" s="83">
        <v>32</v>
      </c>
      <c r="F161" s="83">
        <v>34</v>
      </c>
      <c r="G161" s="83">
        <v>38</v>
      </c>
      <c r="H161" s="83">
        <v>36</v>
      </c>
      <c r="I161" s="83">
        <v>34</v>
      </c>
      <c r="J161" s="83">
        <v>32</v>
      </c>
      <c r="K161" s="83">
        <v>32</v>
      </c>
      <c r="L161" s="83">
        <v>33</v>
      </c>
      <c r="M161" s="83">
        <v>40</v>
      </c>
      <c r="N161" s="83">
        <v>105</v>
      </c>
      <c r="O161" s="83">
        <v>86</v>
      </c>
      <c r="P161" s="83">
        <v>98</v>
      </c>
      <c r="Q161" s="83">
        <v>105</v>
      </c>
      <c r="R161" s="83">
        <v>107</v>
      </c>
      <c r="S161" s="83">
        <v>111</v>
      </c>
      <c r="T161" s="83">
        <v>115</v>
      </c>
      <c r="U161" s="83">
        <v>120</v>
      </c>
      <c r="V161" s="83">
        <v>112</v>
      </c>
      <c r="W161" s="83">
        <v>112</v>
      </c>
      <c r="X161" s="83">
        <v>111</v>
      </c>
      <c r="Y161" s="83">
        <v>113</v>
      </c>
      <c r="Z161" s="83">
        <v>115</v>
      </c>
      <c r="AA161" s="83">
        <v>119</v>
      </c>
      <c r="AB161" s="83">
        <v>112</v>
      </c>
      <c r="AC161" s="83">
        <v>113</v>
      </c>
      <c r="AD161" s="83">
        <v>112</v>
      </c>
      <c r="AE161" s="83">
        <v>117</v>
      </c>
      <c r="AF161" s="83">
        <v>116</v>
      </c>
      <c r="AG161" s="83">
        <v>111</v>
      </c>
      <c r="AH161" s="83">
        <v>106</v>
      </c>
      <c r="AI161" s="83">
        <v>101</v>
      </c>
      <c r="AJ161" s="83">
        <v>103</v>
      </c>
      <c r="AK161" s="83">
        <v>104</v>
      </c>
      <c r="AL161" s="83">
        <v>104</v>
      </c>
      <c r="AM161" s="83">
        <v>106</v>
      </c>
      <c r="AN161" s="83">
        <v>97</v>
      </c>
      <c r="AO161" s="83">
        <v>98</v>
      </c>
      <c r="AP161" s="83">
        <v>94</v>
      </c>
      <c r="AQ161" s="83">
        <v>100</v>
      </c>
      <c r="AR161" s="83">
        <v>94</v>
      </c>
      <c r="AS161" s="83">
        <v>92</v>
      </c>
      <c r="AT161" s="83">
        <v>88</v>
      </c>
      <c r="AU161" s="83">
        <v>90</v>
      </c>
      <c r="AV161" s="83">
        <v>86</v>
      </c>
      <c r="AW161" s="83">
        <v>84</v>
      </c>
    </row>
    <row r="162" spans="1:49" x14ac:dyDescent="0.15">
      <c r="A162" s="83">
        <v>20200331</v>
      </c>
      <c r="B162" s="83">
        <v>63</v>
      </c>
      <c r="C162" s="83">
        <v>51</v>
      </c>
      <c r="D162" s="83">
        <v>50</v>
      </c>
      <c r="E162" s="83">
        <v>48</v>
      </c>
      <c r="F162" s="83">
        <v>39</v>
      </c>
      <c r="G162" s="83">
        <v>39</v>
      </c>
      <c r="H162" s="83">
        <v>37</v>
      </c>
      <c r="I162" s="83">
        <v>35</v>
      </c>
      <c r="J162" s="83">
        <v>31</v>
      </c>
      <c r="K162" s="83">
        <v>32</v>
      </c>
      <c r="L162" s="83">
        <v>31</v>
      </c>
      <c r="M162" s="83">
        <v>44</v>
      </c>
      <c r="N162" s="83">
        <v>101</v>
      </c>
      <c r="O162" s="83">
        <v>86</v>
      </c>
      <c r="P162" s="83">
        <v>101</v>
      </c>
      <c r="Q162" s="83">
        <v>108</v>
      </c>
      <c r="R162" s="83">
        <v>108</v>
      </c>
      <c r="S162" s="83">
        <v>115</v>
      </c>
      <c r="T162" s="83">
        <v>123</v>
      </c>
      <c r="U162" s="83">
        <v>123</v>
      </c>
      <c r="V162" s="83">
        <v>118</v>
      </c>
      <c r="W162" s="83">
        <v>117</v>
      </c>
      <c r="X162" s="83">
        <v>122</v>
      </c>
      <c r="Y162" s="83">
        <v>116</v>
      </c>
      <c r="Z162" s="83">
        <v>116</v>
      </c>
      <c r="AA162" s="83">
        <v>121</v>
      </c>
      <c r="AB162" s="83">
        <v>121</v>
      </c>
      <c r="AC162" s="83">
        <v>116</v>
      </c>
      <c r="AD162" s="83">
        <v>110</v>
      </c>
      <c r="AE162" s="83">
        <v>124</v>
      </c>
      <c r="AF162" s="83">
        <v>117</v>
      </c>
      <c r="AG162" s="83">
        <v>113</v>
      </c>
      <c r="AH162" s="83">
        <v>115</v>
      </c>
      <c r="AI162" s="83">
        <v>113</v>
      </c>
      <c r="AJ162" s="83">
        <v>108</v>
      </c>
      <c r="AK162" s="83">
        <v>111</v>
      </c>
      <c r="AL162" s="83">
        <v>106</v>
      </c>
      <c r="AM162" s="83">
        <v>113</v>
      </c>
      <c r="AN162" s="83">
        <v>106</v>
      </c>
      <c r="AO162" s="83">
        <v>109</v>
      </c>
      <c r="AP162" s="83">
        <v>104</v>
      </c>
      <c r="AQ162" s="83">
        <v>110</v>
      </c>
      <c r="AR162" s="83">
        <v>106</v>
      </c>
      <c r="AS162" s="83">
        <v>103</v>
      </c>
      <c r="AT162" s="83">
        <v>96</v>
      </c>
      <c r="AU162" s="83">
        <v>96</v>
      </c>
      <c r="AV162" s="83">
        <v>94</v>
      </c>
      <c r="AW162" s="83">
        <v>91</v>
      </c>
    </row>
    <row r="163" spans="1:49" x14ac:dyDescent="0.15">
      <c r="A163" s="72"/>
      <c r="B163" s="65">
        <f>AVERAGE(B132:B162)</f>
        <v>58.354838709677416</v>
      </c>
      <c r="C163" s="65">
        <f t="shared" ref="C163:AW163" si="6">AVERAGE(C132:C162)</f>
        <v>40.741935483870968</v>
      </c>
      <c r="D163" s="65">
        <f t="shared" si="6"/>
        <v>39.612903225806448</v>
      </c>
      <c r="E163" s="65">
        <f t="shared" si="6"/>
        <v>36.29032258064516</v>
      </c>
      <c r="F163" s="65">
        <f t="shared" si="6"/>
        <v>37.29032258064516</v>
      </c>
      <c r="G163" s="65">
        <f t="shared" si="6"/>
        <v>40.258064516129032</v>
      </c>
      <c r="H163" s="65">
        <f t="shared" si="6"/>
        <v>38.838709677419352</v>
      </c>
      <c r="I163" s="65">
        <f t="shared" si="6"/>
        <v>36.677419354838712</v>
      </c>
      <c r="J163" s="65">
        <f t="shared" si="6"/>
        <v>34.193548387096776</v>
      </c>
      <c r="K163" s="65">
        <f t="shared" si="6"/>
        <v>34.483870967741936</v>
      </c>
      <c r="L163" s="65">
        <f t="shared" si="6"/>
        <v>39.806451612903224</v>
      </c>
      <c r="M163" s="65">
        <f t="shared" si="6"/>
        <v>50.967741935483872</v>
      </c>
      <c r="N163" s="65">
        <f t="shared" si="6"/>
        <v>98.096774193548384</v>
      </c>
      <c r="O163" s="65">
        <f t="shared" si="6"/>
        <v>88.354838709677423</v>
      </c>
      <c r="P163" s="65">
        <f t="shared" si="6"/>
        <v>104.45161290322581</v>
      </c>
      <c r="Q163" s="65">
        <f t="shared" si="6"/>
        <v>108.51612903225806</v>
      </c>
      <c r="R163" s="65">
        <f t="shared" si="6"/>
        <v>109.74193548387096</v>
      </c>
      <c r="S163" s="65">
        <f t="shared" si="6"/>
        <v>118.3225806451613</v>
      </c>
      <c r="T163" s="65">
        <f t="shared" si="6"/>
        <v>124.09677419354838</v>
      </c>
      <c r="U163" s="65">
        <f t="shared" si="6"/>
        <v>118.83870967741936</v>
      </c>
      <c r="V163" s="65">
        <f t="shared" si="6"/>
        <v>116.58064516129032</v>
      </c>
      <c r="W163" s="65">
        <f t="shared" si="6"/>
        <v>117.03225806451613</v>
      </c>
      <c r="X163" s="65">
        <f t="shared" si="6"/>
        <v>116.64516129032258</v>
      </c>
      <c r="Y163" s="65">
        <f t="shared" si="6"/>
        <v>117.03225806451613</v>
      </c>
      <c r="Z163" s="65">
        <f t="shared" si="6"/>
        <v>117.54838709677419</v>
      </c>
      <c r="AA163" s="65">
        <f t="shared" si="6"/>
        <v>120.61290322580645</v>
      </c>
      <c r="AB163" s="65">
        <f t="shared" si="6"/>
        <v>117.06451612903226</v>
      </c>
      <c r="AC163" s="65">
        <f t="shared" si="6"/>
        <v>116.7741935483871</v>
      </c>
      <c r="AD163" s="65">
        <f t="shared" si="6"/>
        <v>112.25806451612904</v>
      </c>
      <c r="AE163" s="65">
        <f t="shared" si="6"/>
        <v>121.45161290322581</v>
      </c>
      <c r="AF163" s="65">
        <f t="shared" si="6"/>
        <v>116.35483870967742</v>
      </c>
      <c r="AG163" s="65">
        <f t="shared" si="6"/>
        <v>112.41935483870968</v>
      </c>
      <c r="AH163" s="65">
        <f t="shared" si="6"/>
        <v>109</v>
      </c>
      <c r="AI163" s="65">
        <f t="shared" si="6"/>
        <v>106.90322580645162</v>
      </c>
      <c r="AJ163" s="65">
        <f t="shared" si="6"/>
        <v>106.2258064516129</v>
      </c>
      <c r="AK163" s="65">
        <f t="shared" si="6"/>
        <v>106.80645161290323</v>
      </c>
      <c r="AL163" s="65">
        <f t="shared" si="6"/>
        <v>102.38709677419355</v>
      </c>
      <c r="AM163" s="65">
        <f t="shared" si="6"/>
        <v>107.06451612903226</v>
      </c>
      <c r="AN163" s="65">
        <f t="shared" si="6"/>
        <v>104.19354838709677</v>
      </c>
      <c r="AO163" s="65">
        <f t="shared" si="6"/>
        <v>104.70967741935483</v>
      </c>
      <c r="AP163" s="65">
        <f t="shared" si="6"/>
        <v>99.354838709677423</v>
      </c>
      <c r="AQ163" s="65">
        <f t="shared" si="6"/>
        <v>103.74193548387096</v>
      </c>
      <c r="AR163" s="65">
        <f t="shared" si="6"/>
        <v>99.709677419354833</v>
      </c>
      <c r="AS163" s="65">
        <f t="shared" si="6"/>
        <v>95.483870967741936</v>
      </c>
      <c r="AT163" s="65">
        <f t="shared" si="6"/>
        <v>91.935483870967744</v>
      </c>
      <c r="AU163" s="65">
        <f t="shared" si="6"/>
        <v>90.322580645161295</v>
      </c>
      <c r="AV163" s="65">
        <f t="shared" si="6"/>
        <v>88.58064516129032</v>
      </c>
      <c r="AW163" s="65">
        <f t="shared" si="6"/>
        <v>86.58064516129032</v>
      </c>
    </row>
    <row r="164" spans="1:49" x14ac:dyDescent="0.15">
      <c r="A164" s="72"/>
      <c r="B164" s="173">
        <f>AVERAGE(B132:C163)</f>
        <v>49.548387096774192</v>
      </c>
      <c r="C164" s="173"/>
      <c r="D164" s="173">
        <f>AVERAGE(D132:E163)</f>
        <v>37.951612903225808</v>
      </c>
      <c r="E164" s="173"/>
      <c r="F164" s="173">
        <f>AVERAGE(F132:G163)</f>
        <v>38.774193548387103</v>
      </c>
      <c r="G164" s="173"/>
      <c r="H164" s="173">
        <f>AVERAGE(H132:I163)</f>
        <v>37.758064516129032</v>
      </c>
      <c r="I164" s="173"/>
      <c r="J164" s="173">
        <f>AVERAGE(J132:K163)</f>
        <v>34.338709677419352</v>
      </c>
      <c r="K164" s="173"/>
      <c r="L164" s="173">
        <f>AVERAGE(L132:M163)</f>
        <v>45.387096774193552</v>
      </c>
      <c r="M164" s="173"/>
      <c r="N164" s="173">
        <f>AVERAGE(N132:O163)</f>
        <v>93.225806451612897</v>
      </c>
      <c r="O164" s="173"/>
      <c r="P164" s="173">
        <f>AVERAGE(P132:Q163)</f>
        <v>106.48387096774194</v>
      </c>
      <c r="Q164" s="173"/>
      <c r="R164" s="173">
        <f>AVERAGE(R132:S163)</f>
        <v>114.03225806451613</v>
      </c>
      <c r="S164" s="173"/>
      <c r="T164" s="173">
        <f>AVERAGE(T132:U163)</f>
        <v>121.46774193548387</v>
      </c>
      <c r="U164" s="173"/>
      <c r="V164" s="173">
        <f>AVERAGE(V132:W163)</f>
        <v>116.80645161290323</v>
      </c>
      <c r="W164" s="173"/>
      <c r="X164" s="173">
        <f>AVERAGE(X132:Y163)</f>
        <v>116.83870967741936</v>
      </c>
      <c r="Y164" s="173"/>
      <c r="Z164" s="173">
        <f>AVERAGE(Z132:AA163)</f>
        <v>119.08064516129033</v>
      </c>
      <c r="AA164" s="173"/>
      <c r="AB164" s="173">
        <f>AVERAGE(AB132:AC163)</f>
        <v>116.91935483870968</v>
      </c>
      <c r="AC164" s="173"/>
      <c r="AD164" s="173">
        <f>AVERAGE(AD132:AE163)</f>
        <v>116.85483870967741</v>
      </c>
      <c r="AE164" s="173"/>
      <c r="AF164" s="173">
        <f>AVERAGE(AF132:AG163)</f>
        <v>114.38709677419354</v>
      </c>
      <c r="AG164" s="173"/>
      <c r="AH164" s="173">
        <f>AVERAGE(AH132:AI163)</f>
        <v>107.95161290322581</v>
      </c>
      <c r="AI164" s="173"/>
      <c r="AJ164" s="173">
        <f>AVERAGE(AJ132:AK163)</f>
        <v>106.51612903225806</v>
      </c>
      <c r="AK164" s="173"/>
      <c r="AL164" s="173">
        <f>AVERAGE(AL132:AM163)</f>
        <v>104.7258064516129</v>
      </c>
      <c r="AM164" s="173"/>
      <c r="AN164" s="173">
        <f>AVERAGE(AN132:AO163)</f>
        <v>104.45161290322581</v>
      </c>
      <c r="AO164" s="173"/>
      <c r="AP164" s="173">
        <f>AVERAGE(AP132:AQ163)</f>
        <v>101.54838709677419</v>
      </c>
      <c r="AQ164" s="173"/>
      <c r="AR164" s="173">
        <f>AVERAGE(AR132:AS163)</f>
        <v>97.596774193548384</v>
      </c>
      <c r="AS164" s="173"/>
      <c r="AT164" s="173">
        <f>AVERAGE(AT132:AU163)</f>
        <v>91.129032258064512</v>
      </c>
      <c r="AU164" s="173"/>
      <c r="AV164" s="173">
        <f>AVERAGE(AV132:AW163)</f>
        <v>87.580645161290334</v>
      </c>
      <c r="AW164" s="173"/>
    </row>
    <row r="165" spans="1:49" x14ac:dyDescent="0.15">
      <c r="A165" s="83">
        <v>20200401</v>
      </c>
      <c r="B165" s="83">
        <v>69</v>
      </c>
      <c r="C165" s="83">
        <v>62</v>
      </c>
      <c r="D165" s="83">
        <v>56</v>
      </c>
      <c r="E165" s="83">
        <v>54</v>
      </c>
      <c r="F165" s="83">
        <v>56</v>
      </c>
      <c r="G165" s="83">
        <v>61</v>
      </c>
      <c r="H165" s="83">
        <v>59</v>
      </c>
      <c r="I165" s="83">
        <v>56</v>
      </c>
      <c r="J165" s="83">
        <v>55</v>
      </c>
      <c r="K165" s="83">
        <v>53</v>
      </c>
      <c r="L165" s="83">
        <v>55</v>
      </c>
      <c r="M165" s="83">
        <v>60</v>
      </c>
      <c r="N165" s="83">
        <v>99</v>
      </c>
      <c r="O165" s="83">
        <v>84</v>
      </c>
      <c r="P165" s="83">
        <v>89</v>
      </c>
      <c r="Q165" s="83">
        <v>102</v>
      </c>
      <c r="R165" s="83">
        <v>105</v>
      </c>
      <c r="S165" s="83">
        <v>110</v>
      </c>
      <c r="T165" s="83">
        <v>115</v>
      </c>
      <c r="U165" s="83">
        <v>110</v>
      </c>
      <c r="V165" s="83">
        <v>109</v>
      </c>
      <c r="W165" s="83">
        <v>110</v>
      </c>
      <c r="X165" s="83">
        <v>106</v>
      </c>
      <c r="Y165" s="83">
        <v>106</v>
      </c>
      <c r="Z165" s="83">
        <v>111</v>
      </c>
      <c r="AA165" s="83">
        <v>110</v>
      </c>
      <c r="AB165" s="83">
        <v>103</v>
      </c>
      <c r="AC165" s="83">
        <v>106</v>
      </c>
      <c r="AD165" s="83">
        <v>98</v>
      </c>
      <c r="AE165" s="83">
        <v>108</v>
      </c>
      <c r="AF165" s="83">
        <v>104</v>
      </c>
      <c r="AG165" s="83">
        <v>97</v>
      </c>
      <c r="AH165" s="83">
        <v>93</v>
      </c>
      <c r="AI165" s="83">
        <v>94</v>
      </c>
      <c r="AJ165" s="83">
        <v>95</v>
      </c>
      <c r="AK165" s="83">
        <v>91</v>
      </c>
      <c r="AL165" s="83">
        <v>88</v>
      </c>
      <c r="AM165" s="83">
        <v>96</v>
      </c>
      <c r="AN165" s="83">
        <v>94</v>
      </c>
      <c r="AO165" s="83">
        <v>88</v>
      </c>
      <c r="AP165" s="83">
        <v>86</v>
      </c>
      <c r="AQ165" s="83">
        <v>92</v>
      </c>
      <c r="AR165" s="83">
        <v>91</v>
      </c>
      <c r="AS165" s="83">
        <v>86</v>
      </c>
      <c r="AT165" s="83">
        <v>81</v>
      </c>
      <c r="AU165" s="83">
        <v>82</v>
      </c>
      <c r="AV165" s="83">
        <v>79</v>
      </c>
      <c r="AW165" s="83">
        <v>79</v>
      </c>
    </row>
    <row r="166" spans="1:49" x14ac:dyDescent="0.15">
      <c r="A166" s="83">
        <v>20200402</v>
      </c>
      <c r="B166" s="83">
        <v>62</v>
      </c>
      <c r="C166" s="83">
        <v>41</v>
      </c>
      <c r="D166" s="83">
        <v>39</v>
      </c>
      <c r="E166" s="83">
        <v>37</v>
      </c>
      <c r="F166" s="83">
        <v>37</v>
      </c>
      <c r="G166" s="83">
        <v>41</v>
      </c>
      <c r="H166" s="83">
        <v>40</v>
      </c>
      <c r="I166" s="83">
        <v>38</v>
      </c>
      <c r="J166" s="83">
        <v>35</v>
      </c>
      <c r="K166" s="83">
        <v>35</v>
      </c>
      <c r="L166" s="83">
        <v>35</v>
      </c>
      <c r="M166" s="83">
        <v>45</v>
      </c>
      <c r="N166" s="83">
        <v>105</v>
      </c>
      <c r="O166" s="83">
        <v>90</v>
      </c>
      <c r="P166" s="83">
        <v>98</v>
      </c>
      <c r="Q166" s="83">
        <v>108</v>
      </c>
      <c r="R166" s="83">
        <v>111</v>
      </c>
      <c r="S166" s="83">
        <v>119</v>
      </c>
      <c r="T166" s="83">
        <v>122</v>
      </c>
      <c r="U166" s="83">
        <v>118</v>
      </c>
      <c r="V166" s="83">
        <v>113</v>
      </c>
      <c r="W166" s="83">
        <v>115</v>
      </c>
      <c r="X166" s="83">
        <v>113</v>
      </c>
      <c r="Y166" s="83">
        <v>113</v>
      </c>
      <c r="Z166" s="83">
        <v>116</v>
      </c>
      <c r="AA166" s="83">
        <v>116</v>
      </c>
      <c r="AB166" s="83">
        <v>117</v>
      </c>
      <c r="AC166" s="83">
        <v>115</v>
      </c>
      <c r="AD166" s="83">
        <v>111</v>
      </c>
      <c r="AE166" s="83">
        <v>120</v>
      </c>
      <c r="AF166" s="83">
        <v>117</v>
      </c>
      <c r="AG166" s="83">
        <v>110</v>
      </c>
      <c r="AH166" s="83">
        <v>102</v>
      </c>
      <c r="AI166" s="83">
        <v>105</v>
      </c>
      <c r="AJ166" s="83">
        <v>102</v>
      </c>
      <c r="AK166" s="83">
        <v>103</v>
      </c>
      <c r="AL166" s="83">
        <v>103</v>
      </c>
      <c r="AM166" s="83">
        <v>108</v>
      </c>
      <c r="AN166" s="83">
        <v>105</v>
      </c>
      <c r="AO166" s="83">
        <v>101</v>
      </c>
      <c r="AP166" s="83">
        <v>96</v>
      </c>
      <c r="AQ166" s="83">
        <v>102</v>
      </c>
      <c r="AR166" s="83">
        <v>97</v>
      </c>
      <c r="AS166" s="83">
        <v>96</v>
      </c>
      <c r="AT166" s="83">
        <v>92</v>
      </c>
      <c r="AU166" s="83">
        <v>89</v>
      </c>
      <c r="AV166" s="83">
        <v>91</v>
      </c>
      <c r="AW166" s="83">
        <v>82</v>
      </c>
    </row>
    <row r="167" spans="1:49" x14ac:dyDescent="0.15">
      <c r="A167" s="83">
        <v>20200403</v>
      </c>
      <c r="B167" s="83">
        <v>55</v>
      </c>
      <c r="C167" s="83">
        <v>40</v>
      </c>
      <c r="D167" s="83">
        <v>37</v>
      </c>
      <c r="E167" s="83">
        <v>35</v>
      </c>
      <c r="F167" s="83">
        <v>35</v>
      </c>
      <c r="G167" s="83">
        <v>39</v>
      </c>
      <c r="H167" s="83">
        <v>39</v>
      </c>
      <c r="I167" s="83">
        <v>34</v>
      </c>
      <c r="J167" s="83">
        <v>33</v>
      </c>
      <c r="K167" s="83">
        <v>33</v>
      </c>
      <c r="L167" s="83">
        <v>34</v>
      </c>
      <c r="M167" s="83">
        <v>44</v>
      </c>
      <c r="N167" s="83">
        <v>101</v>
      </c>
      <c r="O167" s="83">
        <v>90</v>
      </c>
      <c r="P167" s="83">
        <v>98</v>
      </c>
      <c r="Q167" s="83">
        <v>104</v>
      </c>
      <c r="R167" s="83">
        <v>107</v>
      </c>
      <c r="S167" s="83">
        <v>118</v>
      </c>
      <c r="T167" s="83">
        <v>126</v>
      </c>
      <c r="U167" s="83">
        <v>120</v>
      </c>
      <c r="V167" s="83">
        <v>120</v>
      </c>
      <c r="W167" s="83">
        <v>122</v>
      </c>
      <c r="X167" s="83">
        <v>120</v>
      </c>
      <c r="Y167" s="83">
        <v>118</v>
      </c>
      <c r="Z167" s="83">
        <v>115</v>
      </c>
      <c r="AA167" s="83">
        <v>122</v>
      </c>
      <c r="AB167" s="83">
        <v>120</v>
      </c>
      <c r="AC167" s="83">
        <v>119</v>
      </c>
      <c r="AD167" s="83">
        <v>113</v>
      </c>
      <c r="AE167" s="83">
        <v>118</v>
      </c>
      <c r="AF167" s="83">
        <v>115</v>
      </c>
      <c r="AG167" s="83">
        <v>117</v>
      </c>
      <c r="AH167" s="83">
        <v>110</v>
      </c>
      <c r="AI167" s="83">
        <v>106</v>
      </c>
      <c r="AJ167" s="83">
        <v>107</v>
      </c>
      <c r="AK167" s="83">
        <v>111</v>
      </c>
      <c r="AL167" s="83">
        <v>102</v>
      </c>
      <c r="AM167" s="83">
        <v>105</v>
      </c>
      <c r="AN167" s="83">
        <v>102</v>
      </c>
      <c r="AO167" s="83">
        <v>101</v>
      </c>
      <c r="AP167" s="83">
        <v>98</v>
      </c>
      <c r="AQ167" s="83">
        <v>102</v>
      </c>
      <c r="AR167" s="83">
        <v>102</v>
      </c>
      <c r="AS167" s="83">
        <v>98</v>
      </c>
      <c r="AT167" s="83">
        <v>96</v>
      </c>
      <c r="AU167" s="83">
        <v>91</v>
      </c>
      <c r="AV167" s="83">
        <v>92</v>
      </c>
      <c r="AW167" s="83">
        <v>90</v>
      </c>
    </row>
    <row r="168" spans="1:49" x14ac:dyDescent="0.15">
      <c r="A168" s="83">
        <v>20200404</v>
      </c>
      <c r="B168" s="83">
        <v>60</v>
      </c>
      <c r="C168" s="83">
        <v>41</v>
      </c>
      <c r="D168" s="83">
        <v>39</v>
      </c>
      <c r="E168" s="83">
        <v>35</v>
      </c>
      <c r="F168" s="83">
        <v>36</v>
      </c>
      <c r="G168" s="83">
        <v>39</v>
      </c>
      <c r="H168" s="83">
        <v>38</v>
      </c>
      <c r="I168" s="83">
        <v>36</v>
      </c>
      <c r="J168" s="83">
        <v>32</v>
      </c>
      <c r="K168" s="83">
        <v>33</v>
      </c>
      <c r="L168" s="83">
        <v>33</v>
      </c>
      <c r="M168" s="83">
        <v>46</v>
      </c>
      <c r="N168" s="83">
        <v>102</v>
      </c>
      <c r="O168" s="83">
        <v>93</v>
      </c>
      <c r="P168" s="83">
        <v>107</v>
      </c>
      <c r="Q168" s="83">
        <v>110</v>
      </c>
      <c r="R168" s="83">
        <v>117</v>
      </c>
      <c r="S168" s="83">
        <v>120</v>
      </c>
      <c r="T168" s="83">
        <v>130</v>
      </c>
      <c r="U168" s="83">
        <v>125</v>
      </c>
      <c r="V168" s="83">
        <v>117</v>
      </c>
      <c r="W168" s="83">
        <v>121</v>
      </c>
      <c r="X168" s="83">
        <v>119</v>
      </c>
      <c r="Y168" s="83">
        <v>124</v>
      </c>
      <c r="Z168" s="83">
        <v>124</v>
      </c>
      <c r="AA168" s="83">
        <v>128</v>
      </c>
      <c r="AB168" s="83">
        <v>121</v>
      </c>
      <c r="AC168" s="83">
        <v>127</v>
      </c>
      <c r="AD168" s="83">
        <v>116</v>
      </c>
      <c r="AE168" s="83">
        <v>126</v>
      </c>
      <c r="AF168" s="83">
        <v>124</v>
      </c>
      <c r="AG168" s="83">
        <v>119</v>
      </c>
      <c r="AH168" s="83">
        <v>115</v>
      </c>
      <c r="AI168" s="83">
        <v>113</v>
      </c>
      <c r="AJ168" s="83">
        <v>109</v>
      </c>
      <c r="AK168" s="83">
        <v>108</v>
      </c>
      <c r="AL168" s="83">
        <v>102</v>
      </c>
      <c r="AM168" s="83">
        <v>106</v>
      </c>
      <c r="AN168" s="83">
        <v>103</v>
      </c>
      <c r="AO168" s="83">
        <v>106</v>
      </c>
      <c r="AP168" s="83">
        <v>103</v>
      </c>
      <c r="AQ168" s="83">
        <v>105</v>
      </c>
      <c r="AR168" s="83">
        <v>100</v>
      </c>
      <c r="AS168" s="83">
        <v>99</v>
      </c>
      <c r="AT168" s="83">
        <v>95</v>
      </c>
      <c r="AU168" s="83">
        <v>92</v>
      </c>
      <c r="AV168" s="83">
        <v>90</v>
      </c>
      <c r="AW168" s="83">
        <v>90</v>
      </c>
    </row>
    <row r="169" spans="1:49" x14ac:dyDescent="0.15">
      <c r="A169" s="83">
        <v>20200405</v>
      </c>
      <c r="B169" s="83">
        <v>59</v>
      </c>
      <c r="C169" s="83">
        <v>40</v>
      </c>
      <c r="D169" s="83">
        <v>39</v>
      </c>
      <c r="E169" s="83">
        <v>37</v>
      </c>
      <c r="F169" s="83">
        <v>37</v>
      </c>
      <c r="G169" s="83">
        <v>40</v>
      </c>
      <c r="H169" s="83">
        <v>41</v>
      </c>
      <c r="I169" s="83">
        <v>38</v>
      </c>
      <c r="J169" s="83">
        <v>34</v>
      </c>
      <c r="K169" s="83">
        <v>34</v>
      </c>
      <c r="L169" s="83">
        <v>48</v>
      </c>
      <c r="M169" s="83">
        <v>73</v>
      </c>
      <c r="N169" s="83">
        <v>81</v>
      </c>
      <c r="O169" s="83">
        <v>88</v>
      </c>
      <c r="P169" s="83">
        <v>106</v>
      </c>
      <c r="Q169" s="83">
        <v>112</v>
      </c>
      <c r="R169" s="83">
        <v>104</v>
      </c>
      <c r="S169" s="83">
        <v>115</v>
      </c>
      <c r="T169" s="83">
        <v>123</v>
      </c>
      <c r="U169" s="83">
        <v>113</v>
      </c>
      <c r="V169" s="83">
        <v>113</v>
      </c>
      <c r="W169" s="83">
        <v>113</v>
      </c>
      <c r="X169" s="83">
        <v>112</v>
      </c>
      <c r="Y169" s="83">
        <v>120</v>
      </c>
      <c r="Z169" s="83">
        <v>116</v>
      </c>
      <c r="AA169" s="83">
        <v>117</v>
      </c>
      <c r="AB169" s="83">
        <v>115</v>
      </c>
      <c r="AC169" s="83">
        <v>124</v>
      </c>
      <c r="AD169" s="83">
        <v>113</v>
      </c>
      <c r="AE169" s="83">
        <v>118</v>
      </c>
      <c r="AF169" s="83">
        <v>120</v>
      </c>
      <c r="AG169" s="83">
        <v>110</v>
      </c>
      <c r="AH169" s="83">
        <v>100</v>
      </c>
      <c r="AI169" s="83">
        <v>98</v>
      </c>
      <c r="AJ169" s="83">
        <v>101</v>
      </c>
      <c r="AK169" s="83">
        <v>109</v>
      </c>
      <c r="AL169" s="83">
        <v>99</v>
      </c>
      <c r="AM169" s="83">
        <v>103</v>
      </c>
      <c r="AN169" s="83">
        <v>100</v>
      </c>
      <c r="AO169" s="83">
        <v>101</v>
      </c>
      <c r="AP169" s="83">
        <v>96</v>
      </c>
      <c r="AQ169" s="83">
        <v>101</v>
      </c>
      <c r="AR169" s="83">
        <v>95</v>
      </c>
      <c r="AS169" s="83">
        <v>93</v>
      </c>
      <c r="AT169" s="83">
        <v>89</v>
      </c>
      <c r="AU169" s="83">
        <v>89</v>
      </c>
      <c r="AV169" s="83">
        <v>95</v>
      </c>
      <c r="AW169" s="83">
        <v>91</v>
      </c>
    </row>
    <row r="170" spans="1:49" x14ac:dyDescent="0.15">
      <c r="A170" s="83">
        <v>20200406</v>
      </c>
      <c r="B170" s="83">
        <v>61</v>
      </c>
      <c r="C170" s="83">
        <v>39</v>
      </c>
      <c r="D170" s="83">
        <v>38</v>
      </c>
      <c r="E170" s="83">
        <v>33</v>
      </c>
      <c r="F170" s="83">
        <v>35</v>
      </c>
      <c r="G170" s="83">
        <v>37</v>
      </c>
      <c r="H170" s="83">
        <v>37</v>
      </c>
      <c r="I170" s="83">
        <v>35</v>
      </c>
      <c r="J170" s="83">
        <v>33</v>
      </c>
      <c r="K170" s="83">
        <v>32</v>
      </c>
      <c r="L170" s="83">
        <v>34</v>
      </c>
      <c r="M170" s="83">
        <v>47</v>
      </c>
      <c r="N170" s="83">
        <v>92</v>
      </c>
      <c r="O170" s="83">
        <v>79</v>
      </c>
      <c r="P170" s="83">
        <v>91</v>
      </c>
      <c r="Q170" s="83">
        <v>95</v>
      </c>
      <c r="R170" s="83">
        <v>94</v>
      </c>
      <c r="S170" s="83">
        <v>112</v>
      </c>
      <c r="T170" s="83">
        <v>122</v>
      </c>
      <c r="U170" s="83">
        <v>110</v>
      </c>
      <c r="V170" s="83">
        <v>111</v>
      </c>
      <c r="W170" s="83">
        <v>111</v>
      </c>
      <c r="X170" s="83">
        <v>108</v>
      </c>
      <c r="Y170" s="83">
        <v>121</v>
      </c>
      <c r="Z170" s="83">
        <v>119</v>
      </c>
      <c r="AA170" s="83">
        <v>113</v>
      </c>
      <c r="AB170" s="83">
        <v>111</v>
      </c>
      <c r="AC170" s="83">
        <v>113</v>
      </c>
      <c r="AD170" s="83">
        <v>107</v>
      </c>
      <c r="AE170" s="83">
        <v>116</v>
      </c>
      <c r="AF170" s="83">
        <v>113</v>
      </c>
      <c r="AG170" s="83">
        <v>115</v>
      </c>
      <c r="AH170" s="83">
        <v>110</v>
      </c>
      <c r="AI170" s="83">
        <v>109</v>
      </c>
      <c r="AJ170" s="83">
        <v>107</v>
      </c>
      <c r="AK170" s="83">
        <v>105</v>
      </c>
      <c r="AL170" s="83">
        <v>105</v>
      </c>
      <c r="AM170" s="83">
        <v>111</v>
      </c>
      <c r="AN170" s="83">
        <v>104</v>
      </c>
      <c r="AO170" s="83">
        <v>101</v>
      </c>
      <c r="AP170" s="83">
        <v>98</v>
      </c>
      <c r="AQ170" s="83">
        <v>102</v>
      </c>
      <c r="AR170" s="83">
        <v>98</v>
      </c>
      <c r="AS170" s="83">
        <v>96</v>
      </c>
      <c r="AT170" s="83">
        <v>89</v>
      </c>
      <c r="AU170" s="83">
        <v>89</v>
      </c>
      <c r="AV170" s="83">
        <v>87</v>
      </c>
      <c r="AW170" s="83">
        <v>82</v>
      </c>
    </row>
    <row r="171" spans="1:49" x14ac:dyDescent="0.15">
      <c r="A171" s="83">
        <v>20200407</v>
      </c>
      <c r="B171" s="83">
        <v>56</v>
      </c>
      <c r="C171" s="83">
        <v>41</v>
      </c>
      <c r="D171" s="83">
        <v>38</v>
      </c>
      <c r="E171" s="83">
        <v>34</v>
      </c>
      <c r="F171" s="83">
        <v>35</v>
      </c>
      <c r="G171" s="83">
        <v>38</v>
      </c>
      <c r="H171" s="83">
        <v>38</v>
      </c>
      <c r="I171" s="83">
        <v>36</v>
      </c>
      <c r="J171" s="83">
        <v>34</v>
      </c>
      <c r="K171" s="83">
        <v>33</v>
      </c>
      <c r="L171" s="83">
        <v>36</v>
      </c>
      <c r="M171" s="83">
        <v>51</v>
      </c>
      <c r="N171" s="83">
        <v>105</v>
      </c>
      <c r="O171" s="83">
        <v>89</v>
      </c>
      <c r="P171" s="83">
        <v>107</v>
      </c>
      <c r="Q171" s="83">
        <v>106</v>
      </c>
      <c r="R171" s="83">
        <v>108</v>
      </c>
      <c r="S171" s="83">
        <v>123</v>
      </c>
      <c r="T171" s="83">
        <v>122</v>
      </c>
      <c r="U171" s="83">
        <v>125</v>
      </c>
      <c r="V171" s="83">
        <v>119</v>
      </c>
      <c r="W171" s="83">
        <v>122</v>
      </c>
      <c r="X171" s="83">
        <v>118</v>
      </c>
      <c r="Y171" s="83">
        <v>124</v>
      </c>
      <c r="Z171" s="83">
        <v>126</v>
      </c>
      <c r="AA171" s="83">
        <v>120</v>
      </c>
      <c r="AB171" s="83">
        <v>119</v>
      </c>
      <c r="AC171" s="83">
        <v>116</v>
      </c>
      <c r="AD171" s="83">
        <v>113</v>
      </c>
      <c r="AE171" s="83">
        <v>124</v>
      </c>
      <c r="AF171" s="83">
        <v>117</v>
      </c>
      <c r="AG171" s="83">
        <v>113</v>
      </c>
      <c r="AH171" s="83">
        <v>106</v>
      </c>
      <c r="AI171" s="83">
        <v>109</v>
      </c>
      <c r="AJ171" s="83">
        <v>109</v>
      </c>
      <c r="AK171" s="83">
        <v>108</v>
      </c>
      <c r="AL171" s="83">
        <v>104</v>
      </c>
      <c r="AM171" s="83">
        <v>111</v>
      </c>
      <c r="AN171" s="83">
        <v>109</v>
      </c>
      <c r="AO171" s="83">
        <v>105</v>
      </c>
      <c r="AP171" s="83">
        <v>97</v>
      </c>
      <c r="AQ171" s="83">
        <v>105</v>
      </c>
      <c r="AR171" s="83">
        <v>101</v>
      </c>
      <c r="AS171" s="83">
        <v>96</v>
      </c>
      <c r="AT171" s="83">
        <v>94</v>
      </c>
      <c r="AU171" s="83">
        <v>89</v>
      </c>
      <c r="AV171" s="83">
        <v>86</v>
      </c>
      <c r="AW171" s="83">
        <v>88</v>
      </c>
    </row>
    <row r="172" spans="1:49" x14ac:dyDescent="0.15">
      <c r="A172" s="83">
        <v>20200408</v>
      </c>
      <c r="B172" s="83">
        <v>59</v>
      </c>
      <c r="C172" s="83">
        <v>38</v>
      </c>
      <c r="D172" s="83">
        <v>37</v>
      </c>
      <c r="E172" s="83">
        <v>33</v>
      </c>
      <c r="F172" s="83">
        <v>34</v>
      </c>
      <c r="G172" s="83">
        <v>37</v>
      </c>
      <c r="H172" s="83">
        <v>36</v>
      </c>
      <c r="I172" s="83">
        <v>33</v>
      </c>
      <c r="J172" s="83">
        <v>32</v>
      </c>
      <c r="K172" s="83">
        <v>32</v>
      </c>
      <c r="L172" s="83">
        <v>33</v>
      </c>
      <c r="M172" s="83">
        <v>45</v>
      </c>
      <c r="N172" s="83">
        <v>103</v>
      </c>
      <c r="O172" s="83">
        <v>86</v>
      </c>
      <c r="P172" s="83">
        <v>99</v>
      </c>
      <c r="Q172" s="83">
        <v>100</v>
      </c>
      <c r="R172" s="83">
        <v>105</v>
      </c>
      <c r="S172" s="83">
        <v>119</v>
      </c>
      <c r="T172" s="83">
        <v>123</v>
      </c>
      <c r="U172" s="83">
        <v>121</v>
      </c>
      <c r="V172" s="83">
        <v>111</v>
      </c>
      <c r="W172" s="83">
        <v>115</v>
      </c>
      <c r="X172" s="83">
        <v>115</v>
      </c>
      <c r="Y172" s="83">
        <v>115</v>
      </c>
      <c r="Z172" s="83">
        <v>117</v>
      </c>
      <c r="AA172" s="83">
        <v>120</v>
      </c>
      <c r="AB172" s="83">
        <v>119</v>
      </c>
      <c r="AC172" s="83">
        <v>111</v>
      </c>
      <c r="AD172" s="83">
        <v>108</v>
      </c>
      <c r="AE172" s="83">
        <v>119</v>
      </c>
      <c r="AF172" s="83">
        <v>119</v>
      </c>
      <c r="AG172" s="83">
        <v>112</v>
      </c>
      <c r="AH172" s="83">
        <v>110</v>
      </c>
      <c r="AI172" s="83">
        <v>104</v>
      </c>
      <c r="AJ172" s="83">
        <v>106</v>
      </c>
      <c r="AK172" s="83">
        <v>108</v>
      </c>
      <c r="AL172" s="83">
        <v>101</v>
      </c>
      <c r="AM172" s="83">
        <v>106</v>
      </c>
      <c r="AN172" s="83">
        <v>103</v>
      </c>
      <c r="AO172" s="83">
        <v>102</v>
      </c>
      <c r="AP172" s="83">
        <v>99</v>
      </c>
      <c r="AQ172" s="83">
        <v>103</v>
      </c>
      <c r="AR172" s="83">
        <v>99</v>
      </c>
      <c r="AS172" s="83">
        <v>97</v>
      </c>
      <c r="AT172" s="83">
        <v>94</v>
      </c>
      <c r="AU172" s="83">
        <v>91</v>
      </c>
      <c r="AV172" s="83">
        <v>93</v>
      </c>
      <c r="AW172" s="83">
        <v>89</v>
      </c>
    </row>
    <row r="173" spans="1:49" x14ac:dyDescent="0.15">
      <c r="A173" s="83">
        <v>20200409</v>
      </c>
      <c r="B173" s="83">
        <v>61</v>
      </c>
      <c r="C173" s="83">
        <v>40</v>
      </c>
      <c r="D173" s="83">
        <v>39</v>
      </c>
      <c r="E173" s="83">
        <v>37</v>
      </c>
      <c r="F173" s="83">
        <v>37</v>
      </c>
      <c r="G173" s="83">
        <v>39</v>
      </c>
      <c r="H173" s="83">
        <v>40</v>
      </c>
      <c r="I173" s="83">
        <v>37</v>
      </c>
      <c r="J173" s="83">
        <v>34</v>
      </c>
      <c r="K173" s="83">
        <v>33</v>
      </c>
      <c r="L173" s="83">
        <v>34</v>
      </c>
      <c r="M173" s="83">
        <v>45</v>
      </c>
      <c r="N173" s="83">
        <v>99</v>
      </c>
      <c r="O173" s="83">
        <v>88</v>
      </c>
      <c r="P173" s="83">
        <v>107</v>
      </c>
      <c r="Q173" s="83">
        <v>102</v>
      </c>
      <c r="R173" s="83">
        <v>107</v>
      </c>
      <c r="S173" s="83">
        <v>122</v>
      </c>
      <c r="T173" s="83">
        <v>126</v>
      </c>
      <c r="U173" s="83">
        <v>119</v>
      </c>
      <c r="V173" s="83">
        <v>120</v>
      </c>
      <c r="W173" s="83">
        <v>114</v>
      </c>
      <c r="X173" s="83">
        <v>120</v>
      </c>
      <c r="Y173" s="83">
        <v>117</v>
      </c>
      <c r="Z173" s="83">
        <v>121</v>
      </c>
      <c r="AA173" s="83">
        <v>121</v>
      </c>
      <c r="AB173" s="83">
        <v>111</v>
      </c>
      <c r="AC173" s="83">
        <v>112</v>
      </c>
      <c r="AD173" s="83">
        <v>109</v>
      </c>
      <c r="AE173" s="83">
        <v>123</v>
      </c>
      <c r="AF173" s="83">
        <v>113</v>
      </c>
      <c r="AG173" s="83">
        <v>117</v>
      </c>
      <c r="AH173" s="83">
        <v>107</v>
      </c>
      <c r="AI173" s="83">
        <v>104</v>
      </c>
      <c r="AJ173" s="83">
        <v>103</v>
      </c>
      <c r="AK173" s="83">
        <v>104</v>
      </c>
      <c r="AL173" s="83">
        <v>101</v>
      </c>
      <c r="AM173" s="83">
        <v>106</v>
      </c>
      <c r="AN173" s="83">
        <v>104</v>
      </c>
      <c r="AO173" s="83">
        <v>103</v>
      </c>
      <c r="AP173" s="83">
        <v>96</v>
      </c>
      <c r="AQ173" s="83">
        <v>103</v>
      </c>
      <c r="AR173" s="83">
        <v>99</v>
      </c>
      <c r="AS173" s="83">
        <v>94</v>
      </c>
      <c r="AT173" s="83">
        <v>91</v>
      </c>
      <c r="AU173" s="83">
        <v>88</v>
      </c>
      <c r="AV173" s="83">
        <v>88</v>
      </c>
      <c r="AW173" s="83">
        <v>85</v>
      </c>
    </row>
    <row r="174" spans="1:49" x14ac:dyDescent="0.15">
      <c r="A174" s="83">
        <v>20200410</v>
      </c>
      <c r="B174" s="83">
        <v>55</v>
      </c>
      <c r="C174" s="83">
        <v>39</v>
      </c>
      <c r="D174" s="83">
        <v>38</v>
      </c>
      <c r="E174" s="83">
        <v>35</v>
      </c>
      <c r="F174" s="83">
        <v>34</v>
      </c>
      <c r="G174" s="83">
        <v>38</v>
      </c>
      <c r="H174" s="83">
        <v>38</v>
      </c>
      <c r="I174" s="83">
        <v>35</v>
      </c>
      <c r="J174" s="83">
        <v>33</v>
      </c>
      <c r="K174" s="83">
        <v>34</v>
      </c>
      <c r="L174" s="83">
        <v>33</v>
      </c>
      <c r="M174" s="83">
        <v>46</v>
      </c>
      <c r="N174" s="83">
        <v>97</v>
      </c>
      <c r="O174" s="83">
        <v>91</v>
      </c>
      <c r="P174" s="83">
        <v>104</v>
      </c>
      <c r="Q174" s="83">
        <v>104</v>
      </c>
      <c r="R174" s="83">
        <v>109</v>
      </c>
      <c r="S174" s="83">
        <v>119</v>
      </c>
      <c r="T174" s="83">
        <v>129</v>
      </c>
      <c r="U174" s="83">
        <v>117</v>
      </c>
      <c r="V174" s="83">
        <v>115</v>
      </c>
      <c r="W174" s="83">
        <v>118</v>
      </c>
      <c r="X174" s="83">
        <v>114</v>
      </c>
      <c r="Y174" s="83">
        <v>116</v>
      </c>
      <c r="Z174" s="83">
        <v>118</v>
      </c>
      <c r="AA174" s="83">
        <v>111</v>
      </c>
      <c r="AB174" s="83">
        <v>115</v>
      </c>
      <c r="AC174" s="83">
        <v>115</v>
      </c>
      <c r="AD174" s="83">
        <v>109</v>
      </c>
      <c r="AE174" s="83">
        <v>117</v>
      </c>
      <c r="AF174" s="83">
        <v>109</v>
      </c>
      <c r="AG174" s="83">
        <v>107</v>
      </c>
      <c r="AH174" s="83">
        <v>99</v>
      </c>
      <c r="AI174" s="83">
        <v>102</v>
      </c>
      <c r="AJ174" s="83">
        <v>105</v>
      </c>
      <c r="AK174" s="83">
        <v>99</v>
      </c>
      <c r="AL174" s="83">
        <v>97</v>
      </c>
      <c r="AM174" s="83">
        <v>104</v>
      </c>
      <c r="AN174" s="83">
        <v>97</v>
      </c>
      <c r="AO174" s="83">
        <v>101</v>
      </c>
      <c r="AP174" s="83">
        <v>95</v>
      </c>
      <c r="AQ174" s="83">
        <v>104</v>
      </c>
      <c r="AR174" s="83">
        <v>97</v>
      </c>
      <c r="AS174" s="83">
        <v>94</v>
      </c>
      <c r="AT174" s="83">
        <v>88</v>
      </c>
      <c r="AU174" s="83">
        <v>87</v>
      </c>
      <c r="AV174" s="83">
        <v>86</v>
      </c>
      <c r="AW174" s="83">
        <v>85</v>
      </c>
    </row>
    <row r="175" spans="1:49" x14ac:dyDescent="0.15">
      <c r="A175" s="83">
        <v>20200411</v>
      </c>
      <c r="B175" s="83">
        <v>59</v>
      </c>
      <c r="C175" s="83">
        <v>39</v>
      </c>
      <c r="D175" s="83">
        <v>37</v>
      </c>
      <c r="E175" s="83">
        <v>34</v>
      </c>
      <c r="F175" s="83">
        <v>35</v>
      </c>
      <c r="G175" s="83">
        <v>38</v>
      </c>
      <c r="H175" s="83">
        <v>36</v>
      </c>
      <c r="I175" s="83">
        <v>34</v>
      </c>
      <c r="J175" s="83">
        <v>32</v>
      </c>
      <c r="K175" s="83">
        <v>32</v>
      </c>
      <c r="L175" s="83">
        <v>32</v>
      </c>
      <c r="M175" s="83">
        <v>42</v>
      </c>
      <c r="N175" s="83">
        <v>103</v>
      </c>
      <c r="O175" s="83">
        <v>84</v>
      </c>
      <c r="P175" s="83">
        <v>104</v>
      </c>
      <c r="Q175" s="83">
        <v>114</v>
      </c>
      <c r="R175" s="83">
        <v>111</v>
      </c>
      <c r="S175" s="83">
        <v>119</v>
      </c>
      <c r="T175" s="83">
        <v>120</v>
      </c>
      <c r="U175" s="83">
        <v>122</v>
      </c>
      <c r="V175" s="83">
        <v>123</v>
      </c>
      <c r="W175" s="83">
        <v>112</v>
      </c>
      <c r="X175" s="83">
        <v>111</v>
      </c>
      <c r="Y175" s="83">
        <v>117</v>
      </c>
      <c r="Z175" s="83">
        <v>118</v>
      </c>
      <c r="AA175" s="83">
        <v>123</v>
      </c>
      <c r="AB175" s="83">
        <v>118</v>
      </c>
      <c r="AC175" s="83">
        <v>118</v>
      </c>
      <c r="AD175" s="83">
        <v>110</v>
      </c>
      <c r="AE175" s="83">
        <v>118</v>
      </c>
      <c r="AF175" s="83">
        <v>115</v>
      </c>
      <c r="AG175" s="83">
        <v>113</v>
      </c>
      <c r="AH175" s="83">
        <v>106</v>
      </c>
      <c r="AI175" s="83">
        <v>104</v>
      </c>
      <c r="AJ175" s="83">
        <v>100</v>
      </c>
      <c r="AK175" s="83">
        <v>106</v>
      </c>
      <c r="AL175" s="83">
        <v>106</v>
      </c>
      <c r="AM175" s="83">
        <v>106</v>
      </c>
      <c r="AN175" s="83">
        <v>102</v>
      </c>
      <c r="AO175" s="83">
        <v>102</v>
      </c>
      <c r="AP175" s="83">
        <v>99</v>
      </c>
      <c r="AQ175" s="83">
        <v>101</v>
      </c>
      <c r="AR175" s="83">
        <v>96</v>
      </c>
      <c r="AS175" s="83">
        <v>93</v>
      </c>
      <c r="AT175" s="83">
        <v>91</v>
      </c>
      <c r="AU175" s="83">
        <v>91</v>
      </c>
      <c r="AV175" s="83">
        <v>89</v>
      </c>
      <c r="AW175" s="83">
        <v>82</v>
      </c>
    </row>
    <row r="176" spans="1:49" x14ac:dyDescent="0.15">
      <c r="A176" s="83">
        <v>20200412</v>
      </c>
      <c r="B176" s="83">
        <v>57</v>
      </c>
      <c r="C176" s="83">
        <v>39</v>
      </c>
      <c r="D176" s="83">
        <v>38</v>
      </c>
      <c r="E176" s="83">
        <v>35</v>
      </c>
      <c r="F176" s="83">
        <v>36</v>
      </c>
      <c r="G176" s="83">
        <v>39</v>
      </c>
      <c r="H176" s="83">
        <v>38</v>
      </c>
      <c r="I176" s="83">
        <v>36</v>
      </c>
      <c r="J176" s="83">
        <v>33</v>
      </c>
      <c r="K176" s="83">
        <v>33</v>
      </c>
      <c r="L176" s="83">
        <v>35</v>
      </c>
      <c r="M176" s="83">
        <v>48</v>
      </c>
      <c r="N176" s="83">
        <v>105</v>
      </c>
      <c r="O176" s="83">
        <v>89</v>
      </c>
      <c r="P176" s="83">
        <v>105</v>
      </c>
      <c r="Q176" s="83">
        <v>115</v>
      </c>
      <c r="R176" s="83">
        <v>109</v>
      </c>
      <c r="S176" s="83">
        <v>118</v>
      </c>
      <c r="T176" s="83">
        <v>127</v>
      </c>
      <c r="U176" s="83">
        <v>123</v>
      </c>
      <c r="V176" s="83">
        <v>125</v>
      </c>
      <c r="W176" s="83">
        <v>115</v>
      </c>
      <c r="X176" s="83">
        <v>122</v>
      </c>
      <c r="Y176" s="83">
        <v>127</v>
      </c>
      <c r="Z176" s="83">
        <v>117</v>
      </c>
      <c r="AA176" s="83">
        <v>121</v>
      </c>
      <c r="AB176" s="83">
        <v>125</v>
      </c>
      <c r="AC176" s="83">
        <v>122</v>
      </c>
      <c r="AD176" s="83">
        <v>116</v>
      </c>
      <c r="AE176" s="83">
        <v>129</v>
      </c>
      <c r="AF176" s="83">
        <v>115</v>
      </c>
      <c r="AG176" s="83">
        <v>115</v>
      </c>
      <c r="AH176" s="83">
        <v>112</v>
      </c>
      <c r="AI176" s="83">
        <v>108</v>
      </c>
      <c r="AJ176" s="83">
        <v>104</v>
      </c>
      <c r="AK176" s="83">
        <v>108</v>
      </c>
      <c r="AL176" s="83">
        <v>103</v>
      </c>
      <c r="AM176" s="83">
        <v>108</v>
      </c>
      <c r="AN176" s="83">
        <v>109</v>
      </c>
      <c r="AO176" s="83">
        <v>107</v>
      </c>
      <c r="AP176" s="83">
        <v>100</v>
      </c>
      <c r="AQ176" s="83">
        <v>106</v>
      </c>
      <c r="AR176" s="83">
        <v>101</v>
      </c>
      <c r="AS176" s="83">
        <v>97</v>
      </c>
      <c r="AT176" s="83">
        <v>96</v>
      </c>
      <c r="AU176" s="83">
        <v>93</v>
      </c>
      <c r="AV176" s="83">
        <v>92</v>
      </c>
      <c r="AW176" s="83">
        <v>91</v>
      </c>
    </row>
    <row r="177" spans="1:49" x14ac:dyDescent="0.15">
      <c r="A177" s="83">
        <v>20200413</v>
      </c>
      <c r="B177" s="83">
        <v>63</v>
      </c>
      <c r="C177" s="83">
        <v>42</v>
      </c>
      <c r="D177" s="83">
        <v>40</v>
      </c>
      <c r="E177" s="83">
        <v>38</v>
      </c>
      <c r="F177" s="83">
        <v>38</v>
      </c>
      <c r="G177" s="83">
        <v>43</v>
      </c>
      <c r="H177" s="83">
        <v>41</v>
      </c>
      <c r="I177" s="83">
        <v>40</v>
      </c>
      <c r="J177" s="83">
        <v>36</v>
      </c>
      <c r="K177" s="83">
        <v>36</v>
      </c>
      <c r="L177" s="83">
        <v>35</v>
      </c>
      <c r="M177" s="83">
        <v>49</v>
      </c>
      <c r="N177" s="83">
        <v>105</v>
      </c>
      <c r="O177" s="83">
        <v>91</v>
      </c>
      <c r="P177" s="83">
        <v>99</v>
      </c>
      <c r="Q177" s="83">
        <v>101</v>
      </c>
      <c r="R177" s="83">
        <v>108</v>
      </c>
      <c r="S177" s="83">
        <v>123</v>
      </c>
      <c r="T177" s="83">
        <v>122</v>
      </c>
      <c r="U177" s="83">
        <v>123</v>
      </c>
      <c r="V177" s="83">
        <v>115</v>
      </c>
      <c r="W177" s="83">
        <v>117</v>
      </c>
      <c r="X177" s="83">
        <v>113</v>
      </c>
      <c r="Y177" s="83">
        <v>114</v>
      </c>
      <c r="Z177" s="83">
        <v>117</v>
      </c>
      <c r="AA177" s="83">
        <v>120</v>
      </c>
      <c r="AB177" s="83">
        <v>116</v>
      </c>
      <c r="AC177" s="83">
        <v>114</v>
      </c>
      <c r="AD177" s="83">
        <v>110</v>
      </c>
      <c r="AE177" s="83">
        <v>113</v>
      </c>
      <c r="AF177" s="83">
        <v>108</v>
      </c>
      <c r="AG177" s="83">
        <v>106</v>
      </c>
      <c r="AH177" s="83">
        <v>106</v>
      </c>
      <c r="AI177" s="83">
        <v>100</v>
      </c>
      <c r="AJ177" s="83">
        <v>102</v>
      </c>
      <c r="AK177" s="83">
        <v>103</v>
      </c>
      <c r="AL177" s="83">
        <v>102</v>
      </c>
      <c r="AM177" s="83">
        <v>107</v>
      </c>
      <c r="AN177" s="83">
        <v>99</v>
      </c>
      <c r="AO177" s="83">
        <v>94</v>
      </c>
      <c r="AP177" s="83">
        <v>97</v>
      </c>
      <c r="AQ177" s="83">
        <v>100</v>
      </c>
      <c r="AR177" s="83">
        <v>100</v>
      </c>
      <c r="AS177" s="83">
        <v>96</v>
      </c>
      <c r="AT177" s="83">
        <v>93</v>
      </c>
      <c r="AU177" s="83">
        <v>92</v>
      </c>
      <c r="AV177" s="83">
        <v>89</v>
      </c>
      <c r="AW177" s="83">
        <v>90</v>
      </c>
    </row>
    <row r="178" spans="1:49" x14ac:dyDescent="0.15">
      <c r="A178" s="83">
        <v>20200414</v>
      </c>
      <c r="B178" s="83">
        <v>63</v>
      </c>
      <c r="C178" s="83">
        <v>41</v>
      </c>
      <c r="D178" s="83">
        <v>39</v>
      </c>
      <c r="E178" s="83">
        <v>37</v>
      </c>
      <c r="F178" s="83">
        <v>38</v>
      </c>
      <c r="G178" s="83">
        <v>40</v>
      </c>
      <c r="H178" s="83">
        <v>40</v>
      </c>
      <c r="I178" s="83">
        <v>37</v>
      </c>
      <c r="J178" s="83">
        <v>36</v>
      </c>
      <c r="K178" s="83">
        <v>35</v>
      </c>
      <c r="L178" s="83">
        <v>40</v>
      </c>
      <c r="M178" s="83">
        <v>52</v>
      </c>
      <c r="N178" s="83">
        <v>104</v>
      </c>
      <c r="O178" s="83">
        <v>93</v>
      </c>
      <c r="P178" s="83">
        <v>99</v>
      </c>
      <c r="Q178" s="83">
        <v>113</v>
      </c>
      <c r="R178" s="83">
        <v>109</v>
      </c>
      <c r="S178" s="83">
        <v>115</v>
      </c>
      <c r="T178" s="83">
        <v>125</v>
      </c>
      <c r="U178" s="83">
        <v>117</v>
      </c>
      <c r="V178" s="83">
        <v>114</v>
      </c>
      <c r="W178" s="83">
        <v>113</v>
      </c>
      <c r="X178" s="83">
        <v>114</v>
      </c>
      <c r="Y178" s="83">
        <v>115</v>
      </c>
      <c r="Z178" s="83">
        <v>115</v>
      </c>
      <c r="AA178" s="83">
        <v>118</v>
      </c>
      <c r="AB178" s="83">
        <v>114</v>
      </c>
      <c r="AC178" s="83">
        <v>112</v>
      </c>
      <c r="AD178" s="83">
        <v>108</v>
      </c>
      <c r="AE178" s="83">
        <v>115</v>
      </c>
      <c r="AF178" s="83">
        <v>109</v>
      </c>
      <c r="AG178" s="83">
        <v>106</v>
      </c>
      <c r="AH178" s="83">
        <v>103</v>
      </c>
      <c r="AI178" s="83">
        <v>104</v>
      </c>
      <c r="AJ178" s="83">
        <v>106</v>
      </c>
      <c r="AK178" s="83">
        <v>103</v>
      </c>
      <c r="AL178" s="83">
        <v>97</v>
      </c>
      <c r="AM178" s="83">
        <v>103</v>
      </c>
      <c r="AN178" s="83">
        <v>97</v>
      </c>
      <c r="AO178" s="83">
        <v>95</v>
      </c>
      <c r="AP178" s="83">
        <v>95</v>
      </c>
      <c r="AQ178" s="83">
        <v>100</v>
      </c>
      <c r="AR178" s="83">
        <v>97</v>
      </c>
      <c r="AS178" s="83">
        <v>94</v>
      </c>
      <c r="AT178" s="83">
        <v>92</v>
      </c>
      <c r="AU178" s="83">
        <v>90</v>
      </c>
      <c r="AV178" s="83">
        <v>89</v>
      </c>
      <c r="AW178" s="83">
        <v>88</v>
      </c>
    </row>
    <row r="179" spans="1:49" x14ac:dyDescent="0.15">
      <c r="A179" s="83">
        <v>20200415</v>
      </c>
      <c r="B179" s="83">
        <v>60</v>
      </c>
      <c r="C179" s="83">
        <v>40</v>
      </c>
      <c r="D179" s="83">
        <v>38</v>
      </c>
      <c r="E179" s="83">
        <v>35</v>
      </c>
      <c r="F179" s="83">
        <v>35</v>
      </c>
      <c r="G179" s="83">
        <v>38</v>
      </c>
      <c r="H179" s="83">
        <v>37</v>
      </c>
      <c r="I179" s="83">
        <v>34</v>
      </c>
      <c r="J179" s="83">
        <v>33</v>
      </c>
      <c r="K179" s="83">
        <v>33</v>
      </c>
      <c r="L179" s="83">
        <v>32</v>
      </c>
      <c r="M179" s="83">
        <v>45</v>
      </c>
      <c r="N179" s="83">
        <v>84</v>
      </c>
      <c r="O179" s="83">
        <v>81</v>
      </c>
      <c r="P179" s="83">
        <v>93</v>
      </c>
      <c r="Q179" s="83">
        <v>97</v>
      </c>
      <c r="R179" s="83">
        <v>98</v>
      </c>
      <c r="S179" s="83">
        <v>108</v>
      </c>
      <c r="T179" s="83">
        <v>113</v>
      </c>
      <c r="U179" s="83">
        <v>103</v>
      </c>
      <c r="V179" s="83">
        <v>102</v>
      </c>
      <c r="W179" s="83">
        <v>102</v>
      </c>
      <c r="X179" s="83">
        <v>105</v>
      </c>
      <c r="Y179" s="83">
        <v>110</v>
      </c>
      <c r="Z179" s="83">
        <v>108</v>
      </c>
      <c r="AA179" s="83">
        <v>112</v>
      </c>
      <c r="AB179" s="83">
        <v>110</v>
      </c>
      <c r="AC179" s="83">
        <v>107</v>
      </c>
      <c r="AD179" s="83">
        <v>103</v>
      </c>
      <c r="AE179" s="83">
        <v>111</v>
      </c>
      <c r="AF179" s="83">
        <v>104</v>
      </c>
      <c r="AG179" s="83">
        <v>103</v>
      </c>
      <c r="AH179" s="83">
        <v>92</v>
      </c>
      <c r="AI179" s="83">
        <v>92</v>
      </c>
      <c r="AJ179" s="83">
        <v>91</v>
      </c>
      <c r="AK179" s="83">
        <v>97</v>
      </c>
      <c r="AL179" s="83">
        <v>96</v>
      </c>
      <c r="AM179" s="83">
        <v>94</v>
      </c>
      <c r="AN179" s="83">
        <v>88</v>
      </c>
      <c r="AO179" s="83">
        <v>87</v>
      </c>
      <c r="AP179" s="83">
        <v>84</v>
      </c>
      <c r="AQ179" s="83">
        <v>91</v>
      </c>
      <c r="AR179" s="83">
        <v>88</v>
      </c>
      <c r="AS179" s="83">
        <v>83</v>
      </c>
      <c r="AT179" s="83">
        <v>80</v>
      </c>
      <c r="AU179" s="83">
        <v>81</v>
      </c>
      <c r="AV179" s="83">
        <v>79</v>
      </c>
      <c r="AW179" s="83">
        <v>78</v>
      </c>
    </row>
    <row r="180" spans="1:49" x14ac:dyDescent="0.15">
      <c r="A180" s="83">
        <v>20200416</v>
      </c>
      <c r="B180" s="83">
        <v>62</v>
      </c>
      <c r="C180" s="83">
        <v>41</v>
      </c>
      <c r="D180" s="83">
        <v>40</v>
      </c>
      <c r="E180" s="83">
        <v>38</v>
      </c>
      <c r="F180" s="83">
        <v>37</v>
      </c>
      <c r="G180" s="83">
        <v>40</v>
      </c>
      <c r="H180" s="83">
        <v>40</v>
      </c>
      <c r="I180" s="83">
        <v>39</v>
      </c>
      <c r="J180" s="83">
        <v>36</v>
      </c>
      <c r="K180" s="83">
        <v>34</v>
      </c>
      <c r="L180" s="83">
        <v>35</v>
      </c>
      <c r="M180" s="83">
        <v>45</v>
      </c>
      <c r="N180" s="83">
        <v>104</v>
      </c>
      <c r="O180" s="83">
        <v>91</v>
      </c>
      <c r="P180" s="83">
        <v>99</v>
      </c>
      <c r="Q180" s="83">
        <v>113</v>
      </c>
      <c r="R180" s="83">
        <v>108</v>
      </c>
      <c r="S180" s="83">
        <v>124</v>
      </c>
      <c r="T180" s="83">
        <v>129</v>
      </c>
      <c r="U180" s="83">
        <v>126</v>
      </c>
      <c r="V180" s="83">
        <v>121</v>
      </c>
      <c r="W180" s="83">
        <v>126</v>
      </c>
      <c r="X180" s="83">
        <v>115</v>
      </c>
      <c r="Y180" s="83">
        <v>117</v>
      </c>
      <c r="Z180" s="83">
        <v>118</v>
      </c>
      <c r="AA180" s="83">
        <v>123</v>
      </c>
      <c r="AB180" s="83">
        <v>115</v>
      </c>
      <c r="AC180" s="83">
        <v>116</v>
      </c>
      <c r="AD180" s="83">
        <v>110</v>
      </c>
      <c r="AE180" s="83">
        <v>116</v>
      </c>
      <c r="AF180" s="83">
        <v>113</v>
      </c>
      <c r="AG180" s="83">
        <v>107</v>
      </c>
      <c r="AH180" s="83">
        <v>104</v>
      </c>
      <c r="AI180" s="83">
        <v>103</v>
      </c>
      <c r="AJ180" s="83">
        <v>104</v>
      </c>
      <c r="AK180" s="83">
        <v>104</v>
      </c>
      <c r="AL180" s="83">
        <v>106</v>
      </c>
      <c r="AM180" s="83">
        <v>110</v>
      </c>
      <c r="AN180" s="83">
        <v>100</v>
      </c>
      <c r="AO180" s="83">
        <v>97</v>
      </c>
      <c r="AP180" s="83">
        <v>97</v>
      </c>
      <c r="AQ180" s="83">
        <v>100</v>
      </c>
      <c r="AR180" s="83">
        <v>96</v>
      </c>
      <c r="AS180" s="83">
        <v>92</v>
      </c>
      <c r="AT180" s="83">
        <v>88</v>
      </c>
      <c r="AU180" s="83">
        <v>89</v>
      </c>
      <c r="AV180" s="83">
        <v>88</v>
      </c>
      <c r="AW180" s="83">
        <v>80</v>
      </c>
    </row>
    <row r="181" spans="1:49" x14ac:dyDescent="0.15">
      <c r="A181" s="83">
        <v>20200417</v>
      </c>
      <c r="B181" s="83">
        <v>56</v>
      </c>
      <c r="C181" s="83">
        <v>41</v>
      </c>
      <c r="D181" s="83">
        <v>38</v>
      </c>
      <c r="E181" s="83">
        <v>37</v>
      </c>
      <c r="F181" s="83">
        <v>36</v>
      </c>
      <c r="G181" s="83">
        <v>39</v>
      </c>
      <c r="H181" s="83">
        <v>39</v>
      </c>
      <c r="I181" s="83">
        <v>37</v>
      </c>
      <c r="J181" s="83">
        <v>34</v>
      </c>
      <c r="K181" s="83">
        <v>33</v>
      </c>
      <c r="L181" s="83">
        <v>34</v>
      </c>
      <c r="M181" s="83">
        <v>47</v>
      </c>
      <c r="N181" s="83">
        <v>102</v>
      </c>
      <c r="O181" s="83">
        <v>85</v>
      </c>
      <c r="P181" s="83">
        <v>99</v>
      </c>
      <c r="Q181" s="83">
        <v>105</v>
      </c>
      <c r="R181" s="83">
        <v>105</v>
      </c>
      <c r="S181" s="83">
        <v>118</v>
      </c>
      <c r="T181" s="83">
        <v>122</v>
      </c>
      <c r="U181" s="83">
        <v>119</v>
      </c>
      <c r="V181" s="83">
        <v>115</v>
      </c>
      <c r="W181" s="83">
        <v>118</v>
      </c>
      <c r="X181" s="83">
        <v>115</v>
      </c>
      <c r="Y181" s="83">
        <v>115</v>
      </c>
      <c r="Z181" s="83">
        <v>123</v>
      </c>
      <c r="AA181" s="83">
        <v>120</v>
      </c>
      <c r="AB181" s="83">
        <v>113</v>
      </c>
      <c r="AC181" s="83">
        <v>114</v>
      </c>
      <c r="AD181" s="83">
        <v>107</v>
      </c>
      <c r="AE181" s="83">
        <v>115</v>
      </c>
      <c r="AF181" s="83">
        <v>113</v>
      </c>
      <c r="AG181" s="83">
        <v>111</v>
      </c>
      <c r="AH181" s="83">
        <v>109</v>
      </c>
      <c r="AI181" s="83">
        <v>105</v>
      </c>
      <c r="AJ181" s="83">
        <v>107</v>
      </c>
      <c r="AK181" s="83">
        <v>104</v>
      </c>
      <c r="AL181" s="83">
        <v>103</v>
      </c>
      <c r="AM181" s="83">
        <v>112</v>
      </c>
      <c r="AN181" s="83">
        <v>103</v>
      </c>
      <c r="AO181" s="83">
        <v>103</v>
      </c>
      <c r="AP181" s="83">
        <v>98</v>
      </c>
      <c r="AQ181" s="83">
        <v>102</v>
      </c>
      <c r="AR181" s="83">
        <v>104</v>
      </c>
      <c r="AS181" s="83">
        <v>100</v>
      </c>
      <c r="AT181" s="83">
        <v>97</v>
      </c>
      <c r="AU181" s="83">
        <v>95</v>
      </c>
      <c r="AV181" s="83">
        <v>88</v>
      </c>
      <c r="AW181" s="83">
        <v>82</v>
      </c>
    </row>
    <row r="182" spans="1:49" x14ac:dyDescent="0.15">
      <c r="A182" s="83">
        <v>20200418</v>
      </c>
      <c r="B182" s="83">
        <v>60</v>
      </c>
      <c r="C182" s="83">
        <v>43</v>
      </c>
      <c r="D182" s="83">
        <v>43</v>
      </c>
      <c r="E182" s="83">
        <v>41</v>
      </c>
      <c r="F182" s="83">
        <v>39</v>
      </c>
      <c r="G182" s="83">
        <v>43</v>
      </c>
      <c r="H182" s="83">
        <v>44</v>
      </c>
      <c r="I182" s="83">
        <v>41</v>
      </c>
      <c r="J182" s="83">
        <v>39</v>
      </c>
      <c r="K182" s="83">
        <v>35</v>
      </c>
      <c r="L182" s="83">
        <v>38</v>
      </c>
      <c r="M182" s="83">
        <v>50</v>
      </c>
      <c r="N182" s="83">
        <v>105</v>
      </c>
      <c r="O182" s="83">
        <v>90</v>
      </c>
      <c r="P182" s="83">
        <v>108</v>
      </c>
      <c r="Q182" s="83">
        <v>107</v>
      </c>
      <c r="R182" s="83">
        <v>113</v>
      </c>
      <c r="S182" s="83">
        <v>126</v>
      </c>
      <c r="T182" s="83">
        <v>126</v>
      </c>
      <c r="U182" s="83">
        <v>126</v>
      </c>
      <c r="V182" s="83">
        <v>117</v>
      </c>
      <c r="W182" s="83">
        <v>115</v>
      </c>
      <c r="X182" s="83">
        <v>117</v>
      </c>
      <c r="Y182" s="83">
        <v>122</v>
      </c>
      <c r="Z182" s="83">
        <v>117</v>
      </c>
      <c r="AA182" s="83">
        <v>116</v>
      </c>
      <c r="AB182" s="83">
        <v>121</v>
      </c>
      <c r="AC182" s="83">
        <v>120</v>
      </c>
      <c r="AD182" s="83">
        <v>120</v>
      </c>
      <c r="AE182" s="83">
        <v>123</v>
      </c>
      <c r="AF182" s="83">
        <v>116</v>
      </c>
      <c r="AG182" s="83">
        <v>112</v>
      </c>
      <c r="AH182" s="83">
        <v>106</v>
      </c>
      <c r="AI182" s="83">
        <v>108</v>
      </c>
      <c r="AJ182" s="83">
        <v>106</v>
      </c>
      <c r="AK182" s="83">
        <v>106</v>
      </c>
      <c r="AL182" s="83">
        <v>100</v>
      </c>
      <c r="AM182" s="83">
        <v>113</v>
      </c>
      <c r="AN182" s="83">
        <v>106</v>
      </c>
      <c r="AO182" s="83">
        <v>103</v>
      </c>
      <c r="AP182" s="83">
        <v>96</v>
      </c>
      <c r="AQ182" s="83">
        <v>104</v>
      </c>
      <c r="AR182" s="83">
        <v>103</v>
      </c>
      <c r="AS182" s="83">
        <v>99</v>
      </c>
      <c r="AT182" s="83">
        <v>96</v>
      </c>
      <c r="AU182" s="83">
        <v>95</v>
      </c>
      <c r="AV182" s="83">
        <v>95</v>
      </c>
      <c r="AW182" s="83">
        <v>96</v>
      </c>
    </row>
    <row r="183" spans="1:49" x14ac:dyDescent="0.15">
      <c r="A183" s="83">
        <v>20200419</v>
      </c>
      <c r="B183" s="83">
        <v>69</v>
      </c>
      <c r="C183" s="83">
        <v>42</v>
      </c>
      <c r="D183" s="83">
        <v>41</v>
      </c>
      <c r="E183" s="83">
        <v>39</v>
      </c>
      <c r="F183" s="83">
        <v>38</v>
      </c>
      <c r="G183" s="83">
        <v>41</v>
      </c>
      <c r="H183" s="83">
        <v>41</v>
      </c>
      <c r="I183" s="83">
        <v>39</v>
      </c>
      <c r="J183" s="83">
        <v>37</v>
      </c>
      <c r="K183" s="83">
        <v>37</v>
      </c>
      <c r="L183" s="83">
        <v>35</v>
      </c>
      <c r="M183" s="83">
        <v>50</v>
      </c>
      <c r="N183" s="83">
        <v>93</v>
      </c>
      <c r="O183" s="83">
        <v>82</v>
      </c>
      <c r="P183" s="83">
        <v>97</v>
      </c>
      <c r="Q183" s="83">
        <v>98</v>
      </c>
      <c r="R183" s="83">
        <v>96</v>
      </c>
      <c r="S183" s="83">
        <v>110</v>
      </c>
      <c r="T183" s="83">
        <v>117</v>
      </c>
      <c r="U183" s="83">
        <v>111</v>
      </c>
      <c r="V183" s="83">
        <v>112</v>
      </c>
      <c r="W183" s="83">
        <v>109</v>
      </c>
      <c r="X183" s="83">
        <v>107</v>
      </c>
      <c r="Y183" s="83">
        <v>113</v>
      </c>
      <c r="Z183" s="83">
        <v>114</v>
      </c>
      <c r="AA183" s="83">
        <v>117</v>
      </c>
      <c r="AB183" s="83">
        <v>115</v>
      </c>
      <c r="AC183" s="83">
        <v>111</v>
      </c>
      <c r="AD183" s="83">
        <v>107</v>
      </c>
      <c r="AE183" s="83">
        <v>112</v>
      </c>
      <c r="AF183" s="83">
        <v>106</v>
      </c>
      <c r="AG183" s="83">
        <v>102</v>
      </c>
      <c r="AH183" s="83">
        <v>98</v>
      </c>
      <c r="AI183" s="83">
        <v>96</v>
      </c>
      <c r="AJ183" s="83">
        <v>97</v>
      </c>
      <c r="AK183" s="83">
        <v>96</v>
      </c>
      <c r="AL183" s="83">
        <v>100</v>
      </c>
      <c r="AM183" s="83">
        <v>102</v>
      </c>
      <c r="AN183" s="83">
        <v>95</v>
      </c>
      <c r="AO183" s="83">
        <v>93</v>
      </c>
      <c r="AP183" s="83">
        <v>86</v>
      </c>
      <c r="AQ183" s="83">
        <v>95</v>
      </c>
      <c r="AR183" s="83">
        <v>89</v>
      </c>
      <c r="AS183" s="83">
        <v>84</v>
      </c>
      <c r="AT183" s="83">
        <v>80</v>
      </c>
      <c r="AU183" s="83">
        <v>79</v>
      </c>
      <c r="AV183" s="83">
        <v>80</v>
      </c>
      <c r="AW183" s="83">
        <v>82</v>
      </c>
    </row>
    <row r="184" spans="1:49" x14ac:dyDescent="0.15">
      <c r="A184" s="83">
        <v>20200420</v>
      </c>
      <c r="B184" s="83">
        <v>64</v>
      </c>
      <c r="C184" s="83">
        <v>41</v>
      </c>
      <c r="D184" s="83">
        <v>40</v>
      </c>
      <c r="E184" s="83">
        <v>36</v>
      </c>
      <c r="F184" s="83">
        <v>38</v>
      </c>
      <c r="G184" s="83">
        <v>42</v>
      </c>
      <c r="H184" s="83">
        <v>41</v>
      </c>
      <c r="I184" s="83">
        <v>39</v>
      </c>
      <c r="J184" s="83">
        <v>36</v>
      </c>
      <c r="K184" s="83">
        <v>36</v>
      </c>
      <c r="L184" s="83">
        <v>37</v>
      </c>
      <c r="M184" s="83">
        <v>48</v>
      </c>
      <c r="N184" s="83">
        <v>92</v>
      </c>
      <c r="O184" s="83">
        <v>74</v>
      </c>
      <c r="P184" s="83">
        <v>88</v>
      </c>
      <c r="Q184" s="83">
        <v>95</v>
      </c>
      <c r="R184" s="83">
        <v>94</v>
      </c>
      <c r="S184" s="83">
        <v>107</v>
      </c>
      <c r="T184" s="83">
        <v>105</v>
      </c>
      <c r="U184" s="83">
        <v>101</v>
      </c>
      <c r="V184" s="83">
        <v>101</v>
      </c>
      <c r="W184" s="83">
        <v>100</v>
      </c>
      <c r="X184" s="83">
        <v>103</v>
      </c>
      <c r="Y184" s="83">
        <v>101</v>
      </c>
      <c r="Z184" s="83">
        <v>101</v>
      </c>
      <c r="AA184" s="83">
        <v>98</v>
      </c>
      <c r="AB184" s="83">
        <v>101</v>
      </c>
      <c r="AC184" s="83">
        <v>107</v>
      </c>
      <c r="AD184" s="83">
        <v>94</v>
      </c>
      <c r="AE184" s="83">
        <v>101</v>
      </c>
      <c r="AF184" s="83">
        <v>100</v>
      </c>
      <c r="AG184" s="83">
        <v>95</v>
      </c>
      <c r="AH184" s="83">
        <v>93</v>
      </c>
      <c r="AI184" s="83">
        <v>99</v>
      </c>
      <c r="AJ184" s="83">
        <v>95</v>
      </c>
      <c r="AK184" s="83">
        <v>96</v>
      </c>
      <c r="AL184" s="83">
        <v>90</v>
      </c>
      <c r="AM184" s="83">
        <v>95</v>
      </c>
      <c r="AN184" s="83">
        <v>93</v>
      </c>
      <c r="AO184" s="83">
        <v>91</v>
      </c>
      <c r="AP184" s="83">
        <v>85</v>
      </c>
      <c r="AQ184" s="83">
        <v>92</v>
      </c>
      <c r="AR184" s="83">
        <v>89</v>
      </c>
      <c r="AS184" s="83">
        <v>86</v>
      </c>
      <c r="AT184" s="83">
        <v>82</v>
      </c>
      <c r="AU184" s="83">
        <v>81</v>
      </c>
      <c r="AV184" s="83">
        <v>79</v>
      </c>
      <c r="AW184" s="83">
        <v>78</v>
      </c>
    </row>
    <row r="185" spans="1:49" x14ac:dyDescent="0.15">
      <c r="A185" s="83">
        <v>20200421</v>
      </c>
      <c r="B185" s="83">
        <v>57</v>
      </c>
      <c r="C185" s="83">
        <v>42</v>
      </c>
      <c r="D185" s="83">
        <v>41</v>
      </c>
      <c r="E185" s="83">
        <v>38</v>
      </c>
      <c r="F185" s="83">
        <v>38</v>
      </c>
      <c r="G185" s="83">
        <v>42</v>
      </c>
      <c r="H185" s="83">
        <v>41</v>
      </c>
      <c r="I185" s="83">
        <v>39</v>
      </c>
      <c r="J185" s="83">
        <v>37</v>
      </c>
      <c r="K185" s="83">
        <v>35</v>
      </c>
      <c r="L185" s="83">
        <v>38</v>
      </c>
      <c r="M185" s="83">
        <v>66</v>
      </c>
      <c r="N185" s="83">
        <v>81</v>
      </c>
      <c r="O185" s="83">
        <v>83</v>
      </c>
      <c r="P185" s="83">
        <v>91</v>
      </c>
      <c r="Q185" s="83">
        <v>99</v>
      </c>
      <c r="R185" s="83">
        <v>112</v>
      </c>
      <c r="S185" s="83">
        <v>124</v>
      </c>
      <c r="T185" s="83">
        <v>122</v>
      </c>
      <c r="U185" s="83">
        <v>118</v>
      </c>
      <c r="V185" s="83">
        <v>119</v>
      </c>
      <c r="W185" s="83">
        <v>117</v>
      </c>
      <c r="X185" s="83">
        <v>111</v>
      </c>
      <c r="Y185" s="83">
        <v>115</v>
      </c>
      <c r="Z185" s="83">
        <v>113</v>
      </c>
      <c r="AA185" s="83">
        <v>120</v>
      </c>
      <c r="AB185" s="83">
        <v>112</v>
      </c>
      <c r="AC185" s="83">
        <v>107</v>
      </c>
      <c r="AD185" s="83">
        <v>103</v>
      </c>
      <c r="AE185" s="83">
        <v>113</v>
      </c>
      <c r="AF185" s="83">
        <v>106</v>
      </c>
      <c r="AG185" s="83">
        <v>105</v>
      </c>
      <c r="AH185" s="83">
        <v>102</v>
      </c>
      <c r="AI185" s="83">
        <v>101</v>
      </c>
      <c r="AJ185" s="83">
        <v>102</v>
      </c>
      <c r="AK185" s="83">
        <v>105</v>
      </c>
      <c r="AL185" s="83">
        <v>99</v>
      </c>
      <c r="AM185" s="83">
        <v>108</v>
      </c>
      <c r="AN185" s="83">
        <v>103</v>
      </c>
      <c r="AO185" s="83">
        <v>102</v>
      </c>
      <c r="AP185" s="83">
        <v>96</v>
      </c>
      <c r="AQ185" s="83">
        <v>103</v>
      </c>
      <c r="AR185" s="83">
        <v>101</v>
      </c>
      <c r="AS185" s="83">
        <v>96</v>
      </c>
      <c r="AT185" s="83">
        <v>91</v>
      </c>
      <c r="AU185" s="83">
        <v>93</v>
      </c>
      <c r="AV185" s="83">
        <v>92</v>
      </c>
      <c r="AW185" s="83">
        <v>87</v>
      </c>
    </row>
    <row r="186" spans="1:49" x14ac:dyDescent="0.15">
      <c r="A186" s="83">
        <v>20200422</v>
      </c>
      <c r="B186" s="83">
        <v>66</v>
      </c>
      <c r="C186" s="83">
        <v>47</v>
      </c>
      <c r="D186" s="83">
        <v>46</v>
      </c>
      <c r="E186" s="83">
        <v>43</v>
      </c>
      <c r="F186" s="83">
        <v>42</v>
      </c>
      <c r="G186" s="83">
        <v>47</v>
      </c>
      <c r="H186" s="83">
        <v>46</v>
      </c>
      <c r="I186" s="83">
        <v>45</v>
      </c>
      <c r="J186" s="83">
        <v>42</v>
      </c>
      <c r="K186" s="83">
        <v>40</v>
      </c>
      <c r="L186" s="83">
        <v>40</v>
      </c>
      <c r="M186" s="83">
        <v>50</v>
      </c>
      <c r="N186" s="83">
        <v>98</v>
      </c>
      <c r="O186" s="83">
        <v>88</v>
      </c>
      <c r="P186" s="83">
        <v>99</v>
      </c>
      <c r="Q186" s="83">
        <v>103</v>
      </c>
      <c r="R186" s="83">
        <v>110</v>
      </c>
      <c r="S186" s="83">
        <v>119</v>
      </c>
      <c r="T186" s="83">
        <v>110</v>
      </c>
      <c r="U186" s="83">
        <v>117</v>
      </c>
      <c r="V186" s="83">
        <v>111</v>
      </c>
      <c r="W186" s="83">
        <v>109</v>
      </c>
      <c r="X186" s="83">
        <v>111</v>
      </c>
      <c r="Y186" s="83">
        <v>104</v>
      </c>
      <c r="Z186" s="83">
        <v>116</v>
      </c>
      <c r="AA186" s="83">
        <v>110</v>
      </c>
      <c r="AB186" s="83">
        <v>108</v>
      </c>
      <c r="AC186" s="83">
        <v>112</v>
      </c>
      <c r="AD186" s="83">
        <v>102</v>
      </c>
      <c r="AE186" s="83">
        <v>116</v>
      </c>
      <c r="AF186" s="83">
        <v>109</v>
      </c>
      <c r="AG186" s="83">
        <v>107</v>
      </c>
      <c r="AH186" s="83">
        <v>103</v>
      </c>
      <c r="AI186" s="83">
        <v>101</v>
      </c>
      <c r="AJ186" s="83">
        <v>99</v>
      </c>
      <c r="AK186" s="83">
        <v>98</v>
      </c>
      <c r="AL186" s="83">
        <v>101</v>
      </c>
      <c r="AM186" s="83">
        <v>111</v>
      </c>
      <c r="AN186" s="83">
        <v>100</v>
      </c>
      <c r="AO186" s="83">
        <v>104</v>
      </c>
      <c r="AP186" s="83">
        <v>95</v>
      </c>
      <c r="AQ186" s="83">
        <v>102</v>
      </c>
      <c r="AR186" s="83">
        <v>95</v>
      </c>
      <c r="AS186" s="83">
        <v>93</v>
      </c>
      <c r="AT186" s="83">
        <v>87</v>
      </c>
      <c r="AU186" s="83">
        <v>89</v>
      </c>
      <c r="AV186" s="83">
        <v>85</v>
      </c>
      <c r="AW186" s="83">
        <v>86</v>
      </c>
    </row>
    <row r="187" spans="1:49" x14ac:dyDescent="0.15">
      <c r="A187" s="83">
        <v>20200423</v>
      </c>
      <c r="B187" s="83">
        <v>55</v>
      </c>
      <c r="C187" s="83">
        <v>40</v>
      </c>
      <c r="D187" s="83">
        <v>38</v>
      </c>
      <c r="E187" s="83">
        <v>33</v>
      </c>
      <c r="F187" s="83">
        <v>35</v>
      </c>
      <c r="G187" s="83">
        <v>37</v>
      </c>
      <c r="H187" s="83">
        <v>38</v>
      </c>
      <c r="I187" s="83">
        <v>35</v>
      </c>
      <c r="J187" s="83">
        <v>33</v>
      </c>
      <c r="K187" s="83">
        <v>32</v>
      </c>
      <c r="L187" s="83">
        <v>34</v>
      </c>
      <c r="M187" s="83">
        <v>42</v>
      </c>
      <c r="N187" s="83">
        <v>89</v>
      </c>
      <c r="O187" s="83">
        <v>78</v>
      </c>
      <c r="P187" s="83">
        <v>93</v>
      </c>
      <c r="Q187" s="83">
        <v>98</v>
      </c>
      <c r="R187" s="83">
        <v>95</v>
      </c>
      <c r="S187" s="83">
        <v>114</v>
      </c>
      <c r="T187" s="83">
        <v>119</v>
      </c>
      <c r="U187" s="83">
        <v>118</v>
      </c>
      <c r="V187" s="83">
        <v>110</v>
      </c>
      <c r="W187" s="83">
        <v>114</v>
      </c>
      <c r="X187" s="83">
        <v>115</v>
      </c>
      <c r="Y187" s="83">
        <v>116</v>
      </c>
      <c r="Z187" s="83">
        <v>118</v>
      </c>
      <c r="AA187" s="83">
        <v>121</v>
      </c>
      <c r="AB187" s="83">
        <v>114</v>
      </c>
      <c r="AC187" s="83">
        <v>110</v>
      </c>
      <c r="AD187" s="83">
        <v>108</v>
      </c>
      <c r="AE187" s="83">
        <v>115</v>
      </c>
      <c r="AF187" s="83">
        <v>109</v>
      </c>
      <c r="AG187" s="83">
        <v>99</v>
      </c>
      <c r="AH187" s="83">
        <v>100</v>
      </c>
      <c r="AI187" s="83">
        <v>101</v>
      </c>
      <c r="AJ187" s="83">
        <v>98</v>
      </c>
      <c r="AK187" s="83">
        <v>105</v>
      </c>
      <c r="AL187" s="83">
        <v>103</v>
      </c>
      <c r="AM187" s="83">
        <v>106</v>
      </c>
      <c r="AN187" s="83">
        <v>101</v>
      </c>
      <c r="AO187" s="83">
        <v>99</v>
      </c>
      <c r="AP187" s="83">
        <v>94</v>
      </c>
      <c r="AQ187" s="83">
        <v>100</v>
      </c>
      <c r="AR187" s="83">
        <v>97</v>
      </c>
      <c r="AS187" s="83">
        <v>94</v>
      </c>
      <c r="AT187" s="83">
        <v>90</v>
      </c>
      <c r="AU187" s="83">
        <v>88</v>
      </c>
      <c r="AV187" s="83">
        <v>89</v>
      </c>
      <c r="AW187" s="83">
        <v>82</v>
      </c>
    </row>
    <row r="188" spans="1:49" x14ac:dyDescent="0.15">
      <c r="A188" s="83">
        <v>20200424</v>
      </c>
      <c r="B188" s="83">
        <v>53</v>
      </c>
      <c r="C188" s="83">
        <v>40</v>
      </c>
      <c r="D188" s="83">
        <v>39</v>
      </c>
      <c r="E188" s="83">
        <v>35</v>
      </c>
      <c r="F188" s="83">
        <v>34</v>
      </c>
      <c r="G188" s="83">
        <v>38</v>
      </c>
      <c r="H188" s="83">
        <v>37</v>
      </c>
      <c r="I188" s="83">
        <v>36</v>
      </c>
      <c r="J188" s="83">
        <v>31</v>
      </c>
      <c r="K188" s="83">
        <v>33</v>
      </c>
      <c r="L188" s="83">
        <v>33</v>
      </c>
      <c r="M188" s="83">
        <v>44</v>
      </c>
      <c r="N188" s="83">
        <v>103</v>
      </c>
      <c r="O188" s="83">
        <v>89</v>
      </c>
      <c r="P188" s="83">
        <v>104</v>
      </c>
      <c r="Q188" s="83">
        <v>102</v>
      </c>
      <c r="R188" s="83">
        <v>101</v>
      </c>
      <c r="S188" s="83">
        <v>113</v>
      </c>
      <c r="T188" s="83">
        <v>124</v>
      </c>
      <c r="U188" s="83">
        <v>112</v>
      </c>
      <c r="V188" s="83">
        <v>106</v>
      </c>
      <c r="W188" s="83">
        <v>114</v>
      </c>
      <c r="X188" s="83">
        <v>110</v>
      </c>
      <c r="Y188" s="83">
        <v>110</v>
      </c>
      <c r="Z188" s="83">
        <v>117</v>
      </c>
      <c r="AA188" s="83">
        <v>119</v>
      </c>
      <c r="AB188" s="83">
        <v>114</v>
      </c>
      <c r="AC188" s="83">
        <v>113</v>
      </c>
      <c r="AD188" s="83">
        <v>113</v>
      </c>
      <c r="AE188" s="83">
        <v>115</v>
      </c>
      <c r="AF188" s="83">
        <v>110</v>
      </c>
      <c r="AG188" s="83">
        <v>109</v>
      </c>
      <c r="AH188" s="83">
        <v>106</v>
      </c>
      <c r="AI188" s="83">
        <v>105</v>
      </c>
      <c r="AJ188" s="83">
        <v>105</v>
      </c>
      <c r="AK188" s="83">
        <v>104</v>
      </c>
      <c r="AL188" s="83">
        <v>95</v>
      </c>
      <c r="AM188" s="83">
        <v>100</v>
      </c>
      <c r="AN188" s="83">
        <v>97</v>
      </c>
      <c r="AO188" s="83">
        <v>99</v>
      </c>
      <c r="AP188" s="83">
        <v>96</v>
      </c>
      <c r="AQ188" s="83">
        <v>106</v>
      </c>
      <c r="AR188" s="83">
        <v>100</v>
      </c>
      <c r="AS188" s="83">
        <v>97</v>
      </c>
      <c r="AT188" s="83">
        <v>90</v>
      </c>
      <c r="AU188" s="83">
        <v>88</v>
      </c>
      <c r="AV188" s="83">
        <v>89</v>
      </c>
      <c r="AW188" s="83">
        <v>81</v>
      </c>
    </row>
    <row r="189" spans="1:49" x14ac:dyDescent="0.15">
      <c r="A189" s="83">
        <v>20200425</v>
      </c>
      <c r="B189" s="83">
        <v>62</v>
      </c>
      <c r="C189" s="83">
        <v>40</v>
      </c>
      <c r="D189" s="83">
        <v>38</v>
      </c>
      <c r="E189" s="83">
        <v>36</v>
      </c>
      <c r="F189" s="83">
        <v>35</v>
      </c>
      <c r="G189" s="83">
        <v>38</v>
      </c>
      <c r="H189" s="83">
        <v>39</v>
      </c>
      <c r="I189" s="83">
        <v>35</v>
      </c>
      <c r="J189" s="83">
        <v>34</v>
      </c>
      <c r="K189" s="83">
        <v>33</v>
      </c>
      <c r="L189" s="83">
        <v>33</v>
      </c>
      <c r="M189" s="83">
        <v>66</v>
      </c>
      <c r="N189" s="83">
        <v>86</v>
      </c>
      <c r="O189" s="83">
        <v>85</v>
      </c>
      <c r="P189" s="83">
        <v>104</v>
      </c>
      <c r="Q189" s="83">
        <v>112</v>
      </c>
      <c r="R189" s="83">
        <v>109</v>
      </c>
      <c r="S189" s="83">
        <v>119</v>
      </c>
      <c r="T189" s="83">
        <v>126</v>
      </c>
      <c r="U189" s="83">
        <v>124</v>
      </c>
      <c r="V189" s="83">
        <v>120</v>
      </c>
      <c r="W189" s="83">
        <v>119</v>
      </c>
      <c r="X189" s="83">
        <v>120</v>
      </c>
      <c r="Y189" s="83">
        <v>121</v>
      </c>
      <c r="Z189" s="83">
        <v>121</v>
      </c>
      <c r="AA189" s="83">
        <v>118</v>
      </c>
      <c r="AB189" s="83">
        <v>119</v>
      </c>
      <c r="AC189" s="83">
        <v>114</v>
      </c>
      <c r="AD189" s="83">
        <v>109</v>
      </c>
      <c r="AE189" s="83">
        <v>121</v>
      </c>
      <c r="AF189" s="83">
        <v>114</v>
      </c>
      <c r="AG189" s="83">
        <v>112</v>
      </c>
      <c r="AH189" s="83">
        <v>110</v>
      </c>
      <c r="AI189" s="83">
        <v>106</v>
      </c>
      <c r="AJ189" s="83">
        <v>103</v>
      </c>
      <c r="AK189" s="83">
        <v>100</v>
      </c>
      <c r="AL189" s="83">
        <v>99</v>
      </c>
      <c r="AM189" s="83">
        <v>109</v>
      </c>
      <c r="AN189" s="83">
        <v>106</v>
      </c>
      <c r="AO189" s="83">
        <v>108</v>
      </c>
      <c r="AP189" s="83">
        <v>100</v>
      </c>
      <c r="AQ189" s="83">
        <v>106</v>
      </c>
      <c r="AR189" s="83">
        <v>103</v>
      </c>
      <c r="AS189" s="83">
        <v>100</v>
      </c>
      <c r="AT189" s="83">
        <v>97</v>
      </c>
      <c r="AU189" s="83">
        <v>94</v>
      </c>
      <c r="AV189" s="83">
        <v>92</v>
      </c>
      <c r="AW189" s="83">
        <v>83</v>
      </c>
    </row>
    <row r="190" spans="1:49" x14ac:dyDescent="0.15">
      <c r="A190" s="83">
        <v>20200426</v>
      </c>
      <c r="B190" s="83">
        <v>58</v>
      </c>
      <c r="C190" s="83">
        <v>41</v>
      </c>
      <c r="D190" s="83">
        <v>41</v>
      </c>
      <c r="E190" s="83">
        <v>40</v>
      </c>
      <c r="F190" s="83">
        <v>38</v>
      </c>
      <c r="G190" s="83">
        <v>42</v>
      </c>
      <c r="H190" s="83">
        <v>41</v>
      </c>
      <c r="I190" s="83">
        <v>39</v>
      </c>
      <c r="J190" s="83">
        <v>38</v>
      </c>
      <c r="K190" s="83">
        <v>35</v>
      </c>
      <c r="L190" s="83">
        <v>46</v>
      </c>
      <c r="M190" s="83">
        <v>73</v>
      </c>
      <c r="N190" s="83">
        <v>82</v>
      </c>
      <c r="O190" s="83">
        <v>93</v>
      </c>
      <c r="P190" s="83">
        <v>110</v>
      </c>
      <c r="Q190" s="83">
        <v>105</v>
      </c>
      <c r="R190" s="83">
        <v>110</v>
      </c>
      <c r="S190" s="83">
        <v>125</v>
      </c>
      <c r="T190" s="83">
        <v>129</v>
      </c>
      <c r="U190" s="83">
        <v>124</v>
      </c>
      <c r="V190" s="83">
        <v>115</v>
      </c>
      <c r="W190" s="83">
        <v>123</v>
      </c>
      <c r="X190" s="83">
        <v>117</v>
      </c>
      <c r="Y190" s="83">
        <v>120</v>
      </c>
      <c r="Z190" s="83">
        <v>120</v>
      </c>
      <c r="AA190" s="83">
        <v>117</v>
      </c>
      <c r="AB190" s="83">
        <v>119</v>
      </c>
      <c r="AC190" s="83">
        <v>122</v>
      </c>
      <c r="AD190" s="83">
        <v>113</v>
      </c>
      <c r="AE190" s="83">
        <v>120</v>
      </c>
      <c r="AF190" s="83">
        <v>116</v>
      </c>
      <c r="AG190" s="83">
        <v>114</v>
      </c>
      <c r="AH190" s="83">
        <v>109</v>
      </c>
      <c r="AI190" s="83">
        <v>109</v>
      </c>
      <c r="AJ190" s="83">
        <v>112</v>
      </c>
      <c r="AK190" s="83">
        <v>107</v>
      </c>
      <c r="AL190" s="83">
        <v>107</v>
      </c>
      <c r="AM190" s="83">
        <v>110</v>
      </c>
      <c r="AN190" s="83">
        <v>103</v>
      </c>
      <c r="AO190" s="83">
        <v>103</v>
      </c>
      <c r="AP190" s="83">
        <v>102</v>
      </c>
      <c r="AQ190" s="83">
        <v>107</v>
      </c>
      <c r="AR190" s="83">
        <v>103</v>
      </c>
      <c r="AS190" s="83">
        <v>98</v>
      </c>
      <c r="AT190" s="83">
        <v>97</v>
      </c>
      <c r="AU190" s="83">
        <v>95</v>
      </c>
      <c r="AV190" s="83">
        <v>92</v>
      </c>
      <c r="AW190" s="83">
        <v>91</v>
      </c>
    </row>
    <row r="191" spans="1:49" x14ac:dyDescent="0.15">
      <c r="A191" s="83">
        <v>20200427</v>
      </c>
      <c r="B191" s="83">
        <v>63</v>
      </c>
      <c r="C191" s="83">
        <v>43</v>
      </c>
      <c r="D191" s="83">
        <v>41</v>
      </c>
      <c r="E191" s="83">
        <v>38</v>
      </c>
      <c r="F191" s="83">
        <v>38</v>
      </c>
      <c r="G191" s="83">
        <v>41</v>
      </c>
      <c r="H191" s="83">
        <v>40</v>
      </c>
      <c r="I191" s="83">
        <v>38</v>
      </c>
      <c r="J191" s="83">
        <v>36</v>
      </c>
      <c r="K191" s="83">
        <v>35</v>
      </c>
      <c r="L191" s="83">
        <v>36</v>
      </c>
      <c r="M191" s="83">
        <v>47</v>
      </c>
      <c r="N191" s="83">
        <v>100</v>
      </c>
      <c r="O191" s="83">
        <v>91</v>
      </c>
      <c r="P191" s="83">
        <v>103</v>
      </c>
      <c r="Q191" s="83">
        <v>108</v>
      </c>
      <c r="R191" s="83">
        <v>110</v>
      </c>
      <c r="S191" s="83">
        <v>123</v>
      </c>
      <c r="T191" s="83">
        <v>124</v>
      </c>
      <c r="U191" s="83">
        <v>120</v>
      </c>
      <c r="V191" s="83">
        <v>115</v>
      </c>
      <c r="W191" s="83">
        <v>119</v>
      </c>
      <c r="X191" s="83">
        <v>112</v>
      </c>
      <c r="Y191" s="83">
        <v>117</v>
      </c>
      <c r="Z191" s="83">
        <v>118</v>
      </c>
      <c r="AA191" s="83">
        <v>124</v>
      </c>
      <c r="AB191" s="83">
        <v>116</v>
      </c>
      <c r="AC191" s="83">
        <v>115</v>
      </c>
      <c r="AD191" s="83">
        <v>104</v>
      </c>
      <c r="AE191" s="83">
        <v>120</v>
      </c>
      <c r="AF191" s="83">
        <v>113</v>
      </c>
      <c r="AG191" s="83">
        <v>109</v>
      </c>
      <c r="AH191" s="83">
        <v>106</v>
      </c>
      <c r="AI191" s="83">
        <v>106</v>
      </c>
      <c r="AJ191" s="83">
        <v>105</v>
      </c>
      <c r="AK191" s="83">
        <v>107</v>
      </c>
      <c r="AL191" s="83">
        <v>105</v>
      </c>
      <c r="AM191" s="83">
        <v>107</v>
      </c>
      <c r="AN191" s="83">
        <v>103</v>
      </c>
      <c r="AO191" s="83">
        <v>104</v>
      </c>
      <c r="AP191" s="83">
        <v>100</v>
      </c>
      <c r="AQ191" s="83">
        <v>103</v>
      </c>
      <c r="AR191" s="83">
        <v>101</v>
      </c>
      <c r="AS191" s="83">
        <v>95</v>
      </c>
      <c r="AT191" s="83">
        <v>94</v>
      </c>
      <c r="AU191" s="83">
        <v>93</v>
      </c>
      <c r="AV191" s="83">
        <v>88</v>
      </c>
      <c r="AW191" s="83">
        <v>80</v>
      </c>
    </row>
    <row r="192" spans="1:49" x14ac:dyDescent="0.15">
      <c r="A192" s="83">
        <v>20200428</v>
      </c>
      <c r="B192" s="83">
        <v>56</v>
      </c>
      <c r="C192" s="83">
        <v>40</v>
      </c>
      <c r="D192" s="83">
        <v>39</v>
      </c>
      <c r="E192" s="83">
        <v>36</v>
      </c>
      <c r="F192" s="83">
        <v>35</v>
      </c>
      <c r="G192" s="83">
        <v>39</v>
      </c>
      <c r="H192" s="83">
        <v>38</v>
      </c>
      <c r="I192" s="83">
        <v>35</v>
      </c>
      <c r="J192" s="83">
        <v>33</v>
      </c>
      <c r="K192" s="83">
        <v>32</v>
      </c>
      <c r="L192" s="83">
        <v>34</v>
      </c>
      <c r="M192" s="83">
        <v>43</v>
      </c>
      <c r="N192" s="83">
        <v>92</v>
      </c>
      <c r="O192" s="83">
        <v>78</v>
      </c>
      <c r="P192" s="83">
        <v>94</v>
      </c>
      <c r="Q192" s="83">
        <v>93</v>
      </c>
      <c r="R192" s="83">
        <v>94</v>
      </c>
      <c r="S192" s="83">
        <v>106</v>
      </c>
      <c r="T192" s="83">
        <v>106</v>
      </c>
      <c r="U192" s="83">
        <v>107</v>
      </c>
      <c r="V192" s="83">
        <v>105</v>
      </c>
      <c r="W192" s="83">
        <v>103</v>
      </c>
      <c r="X192" s="83">
        <v>101</v>
      </c>
      <c r="Y192" s="83">
        <v>103</v>
      </c>
      <c r="Z192" s="83">
        <v>103</v>
      </c>
      <c r="AA192" s="83">
        <v>106</v>
      </c>
      <c r="AB192" s="83">
        <v>105</v>
      </c>
      <c r="AC192" s="83">
        <v>105</v>
      </c>
      <c r="AD192" s="83">
        <v>96</v>
      </c>
      <c r="AE192" s="83">
        <v>106</v>
      </c>
      <c r="AF192" s="83">
        <v>100</v>
      </c>
      <c r="AG192" s="83">
        <v>96</v>
      </c>
      <c r="AH192" s="83">
        <v>92</v>
      </c>
      <c r="AI192" s="83">
        <v>92</v>
      </c>
      <c r="AJ192" s="83">
        <v>90</v>
      </c>
      <c r="AK192" s="83">
        <v>88</v>
      </c>
      <c r="AL192" s="83">
        <v>91</v>
      </c>
      <c r="AM192" s="83">
        <v>94</v>
      </c>
      <c r="AN192" s="83">
        <v>88</v>
      </c>
      <c r="AO192" s="83">
        <v>86</v>
      </c>
      <c r="AP192" s="83">
        <v>84</v>
      </c>
      <c r="AQ192" s="83">
        <v>89</v>
      </c>
      <c r="AR192" s="83">
        <v>86</v>
      </c>
      <c r="AS192" s="83">
        <v>81</v>
      </c>
      <c r="AT192" s="83">
        <v>79</v>
      </c>
      <c r="AU192" s="83">
        <v>77</v>
      </c>
      <c r="AV192" s="83">
        <v>77</v>
      </c>
      <c r="AW192" s="83">
        <v>73</v>
      </c>
    </row>
    <row r="193" spans="1:49" x14ac:dyDescent="0.15">
      <c r="A193" s="83">
        <v>20200429</v>
      </c>
      <c r="B193" s="83">
        <v>58</v>
      </c>
      <c r="C193" s="83">
        <v>40</v>
      </c>
      <c r="D193" s="83">
        <v>38</v>
      </c>
      <c r="E193" s="83">
        <v>35</v>
      </c>
      <c r="F193" s="83">
        <v>36</v>
      </c>
      <c r="G193" s="83">
        <v>38</v>
      </c>
      <c r="H193" s="83">
        <v>38</v>
      </c>
      <c r="I193" s="83">
        <v>35</v>
      </c>
      <c r="J193" s="83">
        <v>33</v>
      </c>
      <c r="K193" s="83">
        <v>32</v>
      </c>
      <c r="L193" s="83">
        <v>34</v>
      </c>
      <c r="M193" s="83">
        <v>44</v>
      </c>
      <c r="N193" s="83">
        <v>102</v>
      </c>
      <c r="O193" s="83">
        <v>91</v>
      </c>
      <c r="P193" s="83">
        <v>110</v>
      </c>
      <c r="Q193" s="83">
        <v>107</v>
      </c>
      <c r="R193" s="83">
        <v>111</v>
      </c>
      <c r="S193" s="83">
        <v>115</v>
      </c>
      <c r="T193" s="83">
        <v>127</v>
      </c>
      <c r="U193" s="83">
        <v>119</v>
      </c>
      <c r="V193" s="83">
        <v>116</v>
      </c>
      <c r="W193" s="83">
        <v>119</v>
      </c>
      <c r="X193" s="83">
        <v>116</v>
      </c>
      <c r="Y193" s="83">
        <v>123</v>
      </c>
      <c r="Z193" s="83">
        <v>122</v>
      </c>
      <c r="AA193" s="83">
        <v>123</v>
      </c>
      <c r="AB193" s="83">
        <v>118</v>
      </c>
      <c r="AC193" s="83">
        <v>121</v>
      </c>
      <c r="AD193" s="83">
        <v>110</v>
      </c>
      <c r="AE193" s="83">
        <v>127</v>
      </c>
      <c r="AF193" s="83">
        <v>119</v>
      </c>
      <c r="AG193" s="83">
        <v>117</v>
      </c>
      <c r="AH193" s="83">
        <v>113</v>
      </c>
      <c r="AI193" s="83">
        <v>106</v>
      </c>
      <c r="AJ193" s="83">
        <v>107</v>
      </c>
      <c r="AK193" s="83">
        <v>110</v>
      </c>
      <c r="AL193" s="83">
        <v>109</v>
      </c>
      <c r="AM193" s="83">
        <v>110</v>
      </c>
      <c r="AN193" s="83">
        <v>100</v>
      </c>
      <c r="AO193" s="83">
        <v>104</v>
      </c>
      <c r="AP193" s="83">
        <v>99</v>
      </c>
      <c r="AQ193" s="83">
        <v>105</v>
      </c>
      <c r="AR193" s="83">
        <v>105</v>
      </c>
      <c r="AS193" s="83">
        <v>98</v>
      </c>
      <c r="AT193" s="83">
        <v>96</v>
      </c>
      <c r="AU193" s="83">
        <v>93</v>
      </c>
      <c r="AV193" s="83">
        <v>91</v>
      </c>
      <c r="AW193" s="83">
        <v>91</v>
      </c>
    </row>
    <row r="194" spans="1:49" x14ac:dyDescent="0.15">
      <c r="A194" s="83">
        <v>20200430</v>
      </c>
      <c r="B194" s="83">
        <v>62</v>
      </c>
      <c r="C194" s="83">
        <v>42</v>
      </c>
      <c r="D194" s="83">
        <v>41</v>
      </c>
      <c r="E194" s="83">
        <v>37</v>
      </c>
      <c r="F194" s="83">
        <v>38</v>
      </c>
      <c r="G194" s="83">
        <v>42</v>
      </c>
      <c r="H194" s="83">
        <v>40</v>
      </c>
      <c r="I194" s="83">
        <v>38</v>
      </c>
      <c r="J194" s="83">
        <v>36</v>
      </c>
      <c r="K194" s="83">
        <v>34</v>
      </c>
      <c r="L194" s="83">
        <v>35</v>
      </c>
      <c r="M194" s="83">
        <v>58</v>
      </c>
      <c r="N194" s="83">
        <v>93</v>
      </c>
      <c r="O194" s="83">
        <v>88</v>
      </c>
      <c r="P194" s="83">
        <v>105</v>
      </c>
      <c r="Q194" s="83">
        <v>110</v>
      </c>
      <c r="R194" s="83">
        <v>111</v>
      </c>
      <c r="S194" s="83">
        <v>125</v>
      </c>
      <c r="T194" s="83">
        <v>126</v>
      </c>
      <c r="U194" s="83">
        <v>132</v>
      </c>
      <c r="V194" s="83">
        <v>122</v>
      </c>
      <c r="W194" s="83">
        <v>127</v>
      </c>
      <c r="X194" s="83">
        <v>126</v>
      </c>
      <c r="Y194" s="83">
        <v>128</v>
      </c>
      <c r="Z194" s="83">
        <v>125</v>
      </c>
      <c r="AA194" s="83">
        <v>130</v>
      </c>
      <c r="AB194" s="83">
        <v>130</v>
      </c>
      <c r="AC194" s="83">
        <v>129</v>
      </c>
      <c r="AD194" s="83">
        <v>125</v>
      </c>
      <c r="AE194" s="83">
        <v>136</v>
      </c>
      <c r="AF194" s="83">
        <v>131</v>
      </c>
      <c r="AG194" s="83">
        <v>122</v>
      </c>
      <c r="AH194" s="83">
        <v>117</v>
      </c>
      <c r="AI194" s="83">
        <v>113</v>
      </c>
      <c r="AJ194" s="83">
        <v>112</v>
      </c>
      <c r="AK194" s="83">
        <v>110</v>
      </c>
      <c r="AL194" s="83">
        <v>111</v>
      </c>
      <c r="AM194" s="83">
        <v>114</v>
      </c>
      <c r="AN194" s="83">
        <v>106</v>
      </c>
      <c r="AO194" s="83">
        <v>105</v>
      </c>
      <c r="AP194" s="83">
        <v>103</v>
      </c>
      <c r="AQ194" s="83">
        <v>109</v>
      </c>
      <c r="AR194" s="83">
        <v>107</v>
      </c>
      <c r="AS194" s="83">
        <v>103</v>
      </c>
      <c r="AT194" s="83">
        <v>100</v>
      </c>
      <c r="AU194" s="83">
        <v>96</v>
      </c>
      <c r="AV194" s="83">
        <v>96</v>
      </c>
      <c r="AW194" s="83">
        <v>90</v>
      </c>
    </row>
    <row r="195" spans="1:49" x14ac:dyDescent="0.15">
      <c r="A195" s="72"/>
      <c r="B195" s="65">
        <f t="shared" ref="B195:AW195" si="7">AVERAGE(B164:B194)</f>
        <v>59.662851196670132</v>
      </c>
      <c r="C195" s="65">
        <f t="shared" si="7"/>
        <v>41.5</v>
      </c>
      <c r="D195" s="65">
        <f t="shared" si="7"/>
        <v>39.804890738813739</v>
      </c>
      <c r="E195" s="65">
        <f t="shared" si="7"/>
        <v>37.033333333333331</v>
      </c>
      <c r="F195" s="65">
        <f t="shared" si="7"/>
        <v>37.218522372528618</v>
      </c>
      <c r="G195" s="65">
        <f t="shared" si="7"/>
        <v>40.533333333333331</v>
      </c>
      <c r="H195" s="65">
        <f t="shared" si="7"/>
        <v>39.959937565036419</v>
      </c>
      <c r="I195" s="65">
        <f t="shared" si="7"/>
        <v>37.633333333333333</v>
      </c>
      <c r="J195" s="65">
        <f t="shared" si="7"/>
        <v>35.301248699271596</v>
      </c>
      <c r="K195" s="65">
        <f t="shared" si="7"/>
        <v>34.56666666666667</v>
      </c>
      <c r="L195" s="65">
        <f t="shared" si="7"/>
        <v>36.657648283038505</v>
      </c>
      <c r="M195" s="65">
        <f t="shared" si="7"/>
        <v>50.366666666666667</v>
      </c>
      <c r="N195" s="65">
        <f t="shared" si="7"/>
        <v>96.781477627471375</v>
      </c>
      <c r="O195" s="65">
        <f t="shared" si="7"/>
        <v>86.733333333333334</v>
      </c>
      <c r="P195" s="65">
        <f t="shared" si="7"/>
        <v>100.53173777315297</v>
      </c>
      <c r="Q195" s="65">
        <f t="shared" si="7"/>
        <v>104.6</v>
      </c>
      <c r="R195" s="65">
        <f t="shared" si="7"/>
        <v>106.29136316337149</v>
      </c>
      <c r="S195" s="65">
        <f t="shared" si="7"/>
        <v>117.6</v>
      </c>
      <c r="T195" s="65">
        <f t="shared" si="7"/>
        <v>121.88605619146722</v>
      </c>
      <c r="U195" s="65">
        <f t="shared" si="7"/>
        <v>118</v>
      </c>
      <c r="V195" s="65">
        <f t="shared" si="7"/>
        <v>114.47762747138398</v>
      </c>
      <c r="W195" s="65">
        <f t="shared" si="7"/>
        <v>115.06666666666666</v>
      </c>
      <c r="X195" s="65">
        <f t="shared" si="7"/>
        <v>113.63995837669096</v>
      </c>
      <c r="Y195" s="65">
        <f t="shared" si="7"/>
        <v>116.06666666666666</v>
      </c>
      <c r="Z195" s="65">
        <f t="shared" si="7"/>
        <v>116.8735691987513</v>
      </c>
      <c r="AA195" s="65">
        <f t="shared" si="7"/>
        <v>117.8</v>
      </c>
      <c r="AB195" s="65">
        <f t="shared" si="7"/>
        <v>115.19094693028096</v>
      </c>
      <c r="AC195" s="65">
        <f t="shared" si="7"/>
        <v>114.9</v>
      </c>
      <c r="AD195" s="65">
        <f t="shared" si="7"/>
        <v>109.09209157127992</v>
      </c>
      <c r="AE195" s="65">
        <f t="shared" si="7"/>
        <v>117.7</v>
      </c>
      <c r="AF195" s="65">
        <f t="shared" si="7"/>
        <v>112.62539021852237</v>
      </c>
      <c r="AG195" s="65">
        <f t="shared" si="7"/>
        <v>109.23333333333333</v>
      </c>
      <c r="AH195" s="65">
        <f t="shared" si="7"/>
        <v>104.74037460978148</v>
      </c>
      <c r="AI195" s="65">
        <f t="shared" si="7"/>
        <v>103.43333333333334</v>
      </c>
      <c r="AJ195" s="65">
        <f t="shared" si="7"/>
        <v>103.08116545265348</v>
      </c>
      <c r="AK195" s="65">
        <f t="shared" si="7"/>
        <v>103.43333333333334</v>
      </c>
      <c r="AL195" s="65">
        <f t="shared" si="7"/>
        <v>100.95889698231009</v>
      </c>
      <c r="AM195" s="65">
        <f t="shared" si="7"/>
        <v>105.83333333333333</v>
      </c>
      <c r="AN195" s="65">
        <f t="shared" si="7"/>
        <v>100.78876170655568</v>
      </c>
      <c r="AO195" s="65">
        <f t="shared" si="7"/>
        <v>99.833333333333329</v>
      </c>
      <c r="AP195" s="65">
        <f t="shared" si="7"/>
        <v>95.856399583766901</v>
      </c>
      <c r="AQ195" s="65">
        <f t="shared" si="7"/>
        <v>101.33333333333333</v>
      </c>
      <c r="AR195" s="65">
        <f t="shared" si="7"/>
        <v>97.98699271592092</v>
      </c>
      <c r="AS195" s="65">
        <f t="shared" si="7"/>
        <v>94.266666666666666</v>
      </c>
      <c r="AT195" s="65">
        <f t="shared" si="7"/>
        <v>90.842872008324662</v>
      </c>
      <c r="AU195" s="65">
        <f t="shared" si="7"/>
        <v>89.3</v>
      </c>
      <c r="AV195" s="65">
        <f t="shared" si="7"/>
        <v>88.180020811654529</v>
      </c>
      <c r="AW195" s="65">
        <f t="shared" si="7"/>
        <v>85.066666666666663</v>
      </c>
    </row>
    <row r="196" spans="1:49" x14ac:dyDescent="0.15">
      <c r="A196" s="72"/>
      <c r="B196" s="173">
        <f>AVERAGE(B165:C195)</f>
        <v>50.744562116075322</v>
      </c>
      <c r="C196" s="173"/>
      <c r="D196" s="173">
        <f>AVERAGE(D165:E195)</f>
        <v>38.449003614066889</v>
      </c>
      <c r="E196" s="173"/>
      <c r="F196" s="173">
        <f>AVERAGE(F165:G195)</f>
        <v>38.850836382352611</v>
      </c>
      <c r="G196" s="173"/>
      <c r="H196" s="173">
        <f>AVERAGE(H165:I195)</f>
        <v>38.832149530618864</v>
      </c>
      <c r="I196" s="173"/>
      <c r="J196" s="173">
        <f>AVERAGE(J165:K195)</f>
        <v>34.949482505902232</v>
      </c>
      <c r="K196" s="173"/>
      <c r="L196" s="173">
        <f>AVERAGE(L165:M195)</f>
        <v>43.371359918543639</v>
      </c>
      <c r="M196" s="173"/>
      <c r="N196" s="173">
        <f>AVERAGE(N165:O195)</f>
        <v>91.814755015496857</v>
      </c>
      <c r="O196" s="173"/>
      <c r="P196" s="173">
        <f>AVERAGE(P165:Q195)</f>
        <v>102.46986673827666</v>
      </c>
      <c r="Q196" s="173"/>
      <c r="R196" s="173">
        <f>AVERAGE(R165:S195)</f>
        <v>111.82082843811891</v>
      </c>
      <c r="S196" s="173"/>
      <c r="T196" s="173">
        <f>AVERAGE(T165:U195)</f>
        <v>119.94977509986238</v>
      </c>
      <c r="U196" s="173"/>
      <c r="V196" s="173">
        <f>AVERAGE(V165:W195)</f>
        <v>114.7345853893234</v>
      </c>
      <c r="W196" s="173"/>
      <c r="X196" s="173">
        <f>AVERAGE(X165:Y195)</f>
        <v>114.80171975876382</v>
      </c>
      <c r="Y196" s="173"/>
      <c r="Z196" s="173">
        <f>AVERAGE(Z165:AA195)</f>
        <v>117.30118659997986</v>
      </c>
      <c r="AA196" s="173"/>
      <c r="AB196" s="173">
        <f>AVERAGE(AB165:AC195)</f>
        <v>115.01759591823033</v>
      </c>
      <c r="AC196" s="173"/>
      <c r="AD196" s="173">
        <f>AVERAGE(AD165:AE195)</f>
        <v>113.27084018663354</v>
      </c>
      <c r="AE196" s="173"/>
      <c r="AF196" s="173">
        <f>AVERAGE(AF165:AG195)</f>
        <v>110.90094715406219</v>
      </c>
      <c r="AG196" s="173"/>
      <c r="AH196" s="173">
        <f>AVERAGE(AH165:AI195)</f>
        <v>104.03505980553412</v>
      </c>
      <c r="AI196" s="173"/>
      <c r="AJ196" s="173">
        <f>AVERAGE(AJ165:AK195)</f>
        <v>103.20184675461269</v>
      </c>
      <c r="AK196" s="173"/>
      <c r="AL196" s="173">
        <f>AVERAGE(AL165:AM195)</f>
        <v>103.33535855347812</v>
      </c>
      <c r="AM196" s="173"/>
      <c r="AN196" s="173">
        <f>AVERAGE(AN165:AO195)</f>
        <v>100.25196927483691</v>
      </c>
      <c r="AO196" s="173"/>
      <c r="AP196" s="173">
        <f>AVERAGE(AP165:AQ195)</f>
        <v>98.503060208340315</v>
      </c>
      <c r="AQ196" s="173"/>
      <c r="AR196" s="173">
        <f>AVERAGE(AR165:AS195)</f>
        <v>96.133123538428819</v>
      </c>
      <c r="AS196" s="173"/>
      <c r="AT196" s="173">
        <f>AVERAGE(AT165:AU195)</f>
        <v>90.066820516263306</v>
      </c>
      <c r="AU196" s="173"/>
      <c r="AV196" s="173">
        <f>AVERAGE(AV165:AW195)</f>
        <v>86.633011088360021</v>
      </c>
      <c r="AW196" s="173"/>
    </row>
    <row r="197" spans="1:49" x14ac:dyDescent="0.15">
      <c r="A197" s="83">
        <v>20200501</v>
      </c>
      <c r="B197" s="83">
        <v>60</v>
      </c>
      <c r="C197" s="83">
        <v>43</v>
      </c>
      <c r="D197" s="83">
        <v>43</v>
      </c>
      <c r="E197" s="83">
        <v>41</v>
      </c>
      <c r="F197" s="83">
        <v>40</v>
      </c>
      <c r="G197" s="83">
        <v>43</v>
      </c>
      <c r="H197" s="83">
        <v>45</v>
      </c>
      <c r="I197" s="83">
        <v>42</v>
      </c>
      <c r="J197" s="83">
        <v>40</v>
      </c>
      <c r="K197" s="83">
        <v>39</v>
      </c>
      <c r="L197" s="83">
        <v>38</v>
      </c>
      <c r="M197" s="83">
        <v>65</v>
      </c>
      <c r="N197" s="83">
        <v>93</v>
      </c>
      <c r="O197" s="83">
        <v>90</v>
      </c>
      <c r="P197" s="83">
        <v>110</v>
      </c>
      <c r="Q197" s="83">
        <v>109</v>
      </c>
      <c r="R197" s="83">
        <v>116</v>
      </c>
      <c r="S197" s="83">
        <v>129</v>
      </c>
      <c r="T197" s="83">
        <v>130</v>
      </c>
      <c r="U197" s="83">
        <v>133</v>
      </c>
      <c r="V197" s="83">
        <v>127</v>
      </c>
      <c r="W197" s="83">
        <v>126</v>
      </c>
      <c r="X197" s="83">
        <v>138</v>
      </c>
      <c r="Y197" s="83">
        <v>133</v>
      </c>
      <c r="Z197" s="83">
        <v>127</v>
      </c>
      <c r="AA197" s="83">
        <v>131</v>
      </c>
      <c r="AB197" s="83">
        <v>128</v>
      </c>
      <c r="AC197" s="83">
        <v>133</v>
      </c>
      <c r="AD197" s="83">
        <v>120</v>
      </c>
      <c r="AE197" s="83">
        <v>131</v>
      </c>
      <c r="AF197" s="83">
        <v>128</v>
      </c>
      <c r="AG197" s="83">
        <v>130</v>
      </c>
      <c r="AH197" s="83">
        <v>119</v>
      </c>
      <c r="AI197" s="83">
        <v>121</v>
      </c>
      <c r="AJ197" s="83">
        <v>123</v>
      </c>
      <c r="AK197" s="83">
        <v>114</v>
      </c>
      <c r="AL197" s="83">
        <v>109</v>
      </c>
      <c r="AM197" s="83">
        <v>117</v>
      </c>
      <c r="AN197" s="83">
        <v>110</v>
      </c>
      <c r="AO197" s="83">
        <v>112</v>
      </c>
      <c r="AP197" s="83">
        <v>109</v>
      </c>
      <c r="AQ197" s="83">
        <v>118</v>
      </c>
      <c r="AR197" s="83">
        <v>111</v>
      </c>
      <c r="AS197" s="83">
        <v>108</v>
      </c>
      <c r="AT197" s="83">
        <v>106</v>
      </c>
      <c r="AU197" s="83">
        <v>102</v>
      </c>
      <c r="AV197" s="83">
        <v>101</v>
      </c>
      <c r="AW197" s="83">
        <v>98</v>
      </c>
    </row>
    <row r="198" spans="1:49" x14ac:dyDescent="0.15">
      <c r="A198" s="83">
        <v>20200502</v>
      </c>
      <c r="B198" s="83">
        <v>68</v>
      </c>
      <c r="C198" s="83">
        <v>47</v>
      </c>
      <c r="D198" s="83">
        <v>46</v>
      </c>
      <c r="E198" s="83">
        <v>44</v>
      </c>
      <c r="F198" s="83">
        <v>44</v>
      </c>
      <c r="G198" s="83">
        <v>48</v>
      </c>
      <c r="H198" s="83">
        <v>46</v>
      </c>
      <c r="I198" s="83">
        <v>45</v>
      </c>
      <c r="J198" s="83">
        <v>40</v>
      </c>
      <c r="K198" s="83">
        <v>41</v>
      </c>
      <c r="L198" s="83">
        <v>45</v>
      </c>
      <c r="M198" s="83">
        <v>54</v>
      </c>
      <c r="N198" s="83">
        <v>94</v>
      </c>
      <c r="O198" s="83">
        <v>94</v>
      </c>
      <c r="P198" s="83">
        <v>101</v>
      </c>
      <c r="Q198" s="83">
        <v>107</v>
      </c>
      <c r="R198" s="83">
        <v>113</v>
      </c>
      <c r="S198" s="83">
        <v>123</v>
      </c>
      <c r="T198" s="83">
        <v>136</v>
      </c>
      <c r="U198" s="83">
        <v>144</v>
      </c>
      <c r="V198" s="83">
        <v>136</v>
      </c>
      <c r="W198" s="83">
        <v>143</v>
      </c>
      <c r="X198" s="83">
        <v>144</v>
      </c>
      <c r="Y198" s="83">
        <v>146</v>
      </c>
      <c r="Z198" s="83">
        <v>139</v>
      </c>
      <c r="AA198" s="83">
        <v>142</v>
      </c>
      <c r="AB198" s="83">
        <v>135</v>
      </c>
      <c r="AC198" s="83">
        <v>138</v>
      </c>
      <c r="AD198" s="83">
        <v>127</v>
      </c>
      <c r="AE198" s="83">
        <v>143</v>
      </c>
      <c r="AF198" s="83">
        <v>144</v>
      </c>
      <c r="AG198" s="83">
        <v>138</v>
      </c>
      <c r="AH198" s="83">
        <v>131</v>
      </c>
      <c r="AI198" s="83">
        <v>128</v>
      </c>
      <c r="AJ198" s="83">
        <v>122</v>
      </c>
      <c r="AK198" s="83">
        <v>123</v>
      </c>
      <c r="AL198" s="83">
        <v>106</v>
      </c>
      <c r="AM198" s="83">
        <v>113</v>
      </c>
      <c r="AN198" s="83">
        <v>111</v>
      </c>
      <c r="AO198" s="83">
        <v>112</v>
      </c>
      <c r="AP198" s="83">
        <v>101</v>
      </c>
      <c r="AQ198" s="83">
        <v>107</v>
      </c>
      <c r="AR198" s="83">
        <v>103</v>
      </c>
      <c r="AS198" s="83">
        <v>97</v>
      </c>
      <c r="AT198" s="83">
        <v>93</v>
      </c>
      <c r="AU198" s="83">
        <v>91</v>
      </c>
      <c r="AV198" s="83">
        <v>87</v>
      </c>
      <c r="AW198" s="83">
        <v>86</v>
      </c>
    </row>
    <row r="199" spans="1:49" x14ac:dyDescent="0.15">
      <c r="A199" s="83">
        <v>20200503</v>
      </c>
      <c r="B199" s="83">
        <v>79</v>
      </c>
      <c r="C199" s="83">
        <v>64</v>
      </c>
      <c r="D199" s="83">
        <v>67</v>
      </c>
      <c r="E199" s="83">
        <v>64</v>
      </c>
      <c r="F199" s="83">
        <v>61</v>
      </c>
      <c r="G199" s="83">
        <v>62</v>
      </c>
      <c r="H199" s="83">
        <v>50</v>
      </c>
      <c r="I199" s="83">
        <v>46</v>
      </c>
      <c r="J199" s="83">
        <v>42</v>
      </c>
      <c r="K199" s="83">
        <v>40</v>
      </c>
      <c r="L199" s="83">
        <v>41</v>
      </c>
      <c r="M199" s="83">
        <v>62</v>
      </c>
      <c r="N199" s="83">
        <v>91</v>
      </c>
      <c r="O199" s="83">
        <v>85</v>
      </c>
      <c r="P199" s="83">
        <v>103</v>
      </c>
      <c r="Q199" s="83">
        <v>106</v>
      </c>
      <c r="R199" s="83">
        <v>111</v>
      </c>
      <c r="S199" s="83">
        <v>123</v>
      </c>
      <c r="T199" s="83">
        <v>141</v>
      </c>
      <c r="U199" s="83">
        <v>134</v>
      </c>
      <c r="V199" s="83">
        <v>137</v>
      </c>
      <c r="W199" s="83">
        <v>138</v>
      </c>
      <c r="X199" s="83">
        <v>147</v>
      </c>
      <c r="Y199" s="83">
        <v>149</v>
      </c>
      <c r="Z199" s="83">
        <v>141</v>
      </c>
      <c r="AA199" s="83">
        <v>152</v>
      </c>
      <c r="AB199" s="83">
        <v>137</v>
      </c>
      <c r="AC199" s="83">
        <v>148</v>
      </c>
      <c r="AD199" s="83">
        <v>128</v>
      </c>
      <c r="AE199" s="83">
        <v>143</v>
      </c>
      <c r="AF199" s="83">
        <v>138</v>
      </c>
      <c r="AG199" s="83">
        <v>127</v>
      </c>
      <c r="AH199" s="83">
        <v>126</v>
      </c>
      <c r="AI199" s="83">
        <v>118</v>
      </c>
      <c r="AJ199" s="83">
        <v>117</v>
      </c>
      <c r="AK199" s="83">
        <v>118</v>
      </c>
      <c r="AL199" s="83">
        <v>112</v>
      </c>
      <c r="AM199" s="83">
        <v>114</v>
      </c>
      <c r="AN199" s="83">
        <v>104</v>
      </c>
      <c r="AO199" s="83">
        <v>103</v>
      </c>
      <c r="AP199" s="83">
        <v>99</v>
      </c>
      <c r="AQ199" s="83">
        <v>108</v>
      </c>
      <c r="AR199" s="83">
        <v>105</v>
      </c>
      <c r="AS199" s="83">
        <v>99</v>
      </c>
      <c r="AT199" s="83">
        <v>96</v>
      </c>
      <c r="AU199" s="83">
        <v>92</v>
      </c>
      <c r="AV199" s="83">
        <v>91</v>
      </c>
      <c r="AW199" s="83">
        <v>88</v>
      </c>
    </row>
    <row r="200" spans="1:49" x14ac:dyDescent="0.15">
      <c r="A200" s="83">
        <v>20200504</v>
      </c>
      <c r="B200" s="83">
        <v>66</v>
      </c>
      <c r="C200" s="83">
        <v>46</v>
      </c>
      <c r="D200" s="83">
        <v>48</v>
      </c>
      <c r="E200" s="83">
        <v>44</v>
      </c>
      <c r="F200" s="83">
        <v>44</v>
      </c>
      <c r="G200" s="83">
        <v>50</v>
      </c>
      <c r="H200" s="83">
        <v>47</v>
      </c>
      <c r="I200" s="83">
        <v>45</v>
      </c>
      <c r="J200" s="83">
        <v>43</v>
      </c>
      <c r="K200" s="83">
        <v>42</v>
      </c>
      <c r="L200" s="83">
        <v>42</v>
      </c>
      <c r="M200" s="83">
        <v>55</v>
      </c>
      <c r="N200" s="83">
        <v>98</v>
      </c>
      <c r="O200" s="83">
        <v>88</v>
      </c>
      <c r="P200" s="83">
        <v>108</v>
      </c>
      <c r="Q200" s="83">
        <v>107</v>
      </c>
      <c r="R200" s="83">
        <v>115</v>
      </c>
      <c r="S200" s="83">
        <v>130</v>
      </c>
      <c r="T200" s="83">
        <v>140</v>
      </c>
      <c r="U200" s="83">
        <v>135</v>
      </c>
      <c r="V200" s="83">
        <v>130</v>
      </c>
      <c r="W200" s="83">
        <v>134</v>
      </c>
      <c r="X200" s="83">
        <v>141</v>
      </c>
      <c r="Y200" s="83">
        <v>144</v>
      </c>
      <c r="Z200" s="83">
        <v>138</v>
      </c>
      <c r="AA200" s="83">
        <v>152</v>
      </c>
      <c r="AB200" s="83">
        <v>144</v>
      </c>
      <c r="AC200" s="83">
        <v>147</v>
      </c>
      <c r="AD200" s="83">
        <v>130</v>
      </c>
      <c r="AE200" s="83">
        <v>143</v>
      </c>
      <c r="AF200" s="83">
        <v>144</v>
      </c>
      <c r="AG200" s="83">
        <v>139</v>
      </c>
      <c r="AH200" s="83">
        <v>138</v>
      </c>
      <c r="AI200" s="83">
        <v>128</v>
      </c>
      <c r="AJ200" s="83">
        <v>124</v>
      </c>
      <c r="AK200" s="83">
        <v>126</v>
      </c>
      <c r="AL200" s="83">
        <v>115</v>
      </c>
      <c r="AM200" s="83">
        <v>120</v>
      </c>
      <c r="AN200" s="83">
        <v>106</v>
      </c>
      <c r="AO200" s="83">
        <v>108</v>
      </c>
      <c r="AP200" s="83">
        <v>99</v>
      </c>
      <c r="AQ200" s="83">
        <v>108</v>
      </c>
      <c r="AR200" s="83">
        <v>105</v>
      </c>
      <c r="AS200" s="83">
        <v>101</v>
      </c>
      <c r="AT200" s="83">
        <v>96</v>
      </c>
      <c r="AU200" s="83">
        <v>96</v>
      </c>
      <c r="AV200" s="83">
        <v>93</v>
      </c>
      <c r="AW200" s="83">
        <v>93</v>
      </c>
    </row>
    <row r="201" spans="1:49" x14ac:dyDescent="0.15">
      <c r="A201" s="83">
        <v>20200505</v>
      </c>
      <c r="B201" s="83">
        <v>67</v>
      </c>
      <c r="C201" s="83">
        <v>48</v>
      </c>
      <c r="D201" s="83">
        <v>47</v>
      </c>
      <c r="E201" s="83">
        <v>44</v>
      </c>
      <c r="F201" s="83">
        <v>44</v>
      </c>
      <c r="G201" s="83">
        <v>48</v>
      </c>
      <c r="H201" s="83">
        <v>46</v>
      </c>
      <c r="I201" s="83">
        <v>44</v>
      </c>
      <c r="J201" s="83">
        <v>42</v>
      </c>
      <c r="K201" s="83">
        <v>39</v>
      </c>
      <c r="L201" s="83">
        <v>41</v>
      </c>
      <c r="M201" s="83">
        <v>65</v>
      </c>
      <c r="N201" s="83">
        <v>90</v>
      </c>
      <c r="O201" s="83">
        <v>87</v>
      </c>
      <c r="P201" s="83">
        <v>99</v>
      </c>
      <c r="Q201" s="83">
        <v>104</v>
      </c>
      <c r="R201" s="83">
        <v>107</v>
      </c>
      <c r="S201" s="83">
        <v>122</v>
      </c>
      <c r="T201" s="83">
        <v>120</v>
      </c>
      <c r="U201" s="83">
        <v>116</v>
      </c>
      <c r="V201" s="83">
        <v>119</v>
      </c>
      <c r="W201" s="83">
        <v>112</v>
      </c>
      <c r="X201" s="83">
        <v>111</v>
      </c>
      <c r="Y201" s="83">
        <v>122</v>
      </c>
      <c r="Z201" s="83">
        <v>117</v>
      </c>
      <c r="AA201" s="83">
        <v>120</v>
      </c>
      <c r="AB201" s="83">
        <v>120</v>
      </c>
      <c r="AC201" s="83">
        <v>126</v>
      </c>
      <c r="AD201" s="83">
        <v>117</v>
      </c>
      <c r="AE201" s="83">
        <v>129</v>
      </c>
      <c r="AF201" s="83">
        <v>126</v>
      </c>
      <c r="AG201" s="83">
        <v>116</v>
      </c>
      <c r="AH201" s="83">
        <v>109</v>
      </c>
      <c r="AI201" s="83">
        <v>108</v>
      </c>
      <c r="AJ201" s="83">
        <v>107</v>
      </c>
      <c r="AK201" s="83">
        <v>100</v>
      </c>
      <c r="AL201" s="83">
        <v>94</v>
      </c>
      <c r="AM201" s="83">
        <v>102</v>
      </c>
      <c r="AN201" s="83">
        <v>100</v>
      </c>
      <c r="AO201" s="83">
        <v>104</v>
      </c>
      <c r="AP201" s="83">
        <v>96</v>
      </c>
      <c r="AQ201" s="83">
        <v>100</v>
      </c>
      <c r="AR201" s="83">
        <v>95</v>
      </c>
      <c r="AS201" s="83">
        <v>91</v>
      </c>
      <c r="AT201" s="83">
        <v>85</v>
      </c>
      <c r="AU201" s="83">
        <v>83</v>
      </c>
      <c r="AV201" s="83">
        <v>81</v>
      </c>
      <c r="AW201" s="83">
        <v>80</v>
      </c>
    </row>
    <row r="202" spans="1:49" x14ac:dyDescent="0.15">
      <c r="A202" s="83">
        <v>20200506</v>
      </c>
      <c r="B202" s="83">
        <v>63</v>
      </c>
      <c r="C202" s="83">
        <v>43</v>
      </c>
      <c r="D202" s="83">
        <v>44</v>
      </c>
      <c r="E202" s="83">
        <v>41</v>
      </c>
      <c r="F202" s="83">
        <v>42</v>
      </c>
      <c r="G202" s="83">
        <v>46</v>
      </c>
      <c r="H202" s="83">
        <v>44</v>
      </c>
      <c r="I202" s="83">
        <v>42</v>
      </c>
      <c r="J202" s="83">
        <v>40</v>
      </c>
      <c r="K202" s="83">
        <v>39</v>
      </c>
      <c r="L202" s="83">
        <v>40</v>
      </c>
      <c r="M202" s="83">
        <v>70</v>
      </c>
      <c r="N202" s="83">
        <v>80</v>
      </c>
      <c r="O202" s="83">
        <v>80</v>
      </c>
      <c r="P202" s="83">
        <v>97</v>
      </c>
      <c r="Q202" s="83">
        <v>105</v>
      </c>
      <c r="R202" s="83">
        <v>97</v>
      </c>
      <c r="S202" s="83">
        <v>116</v>
      </c>
      <c r="T202" s="83">
        <v>118</v>
      </c>
      <c r="U202" s="83">
        <v>113</v>
      </c>
      <c r="V202" s="83">
        <v>109</v>
      </c>
      <c r="W202" s="83">
        <v>107</v>
      </c>
      <c r="X202" s="83">
        <v>108</v>
      </c>
      <c r="Y202" s="83">
        <v>116</v>
      </c>
      <c r="Z202" s="83">
        <v>109</v>
      </c>
      <c r="AA202" s="83">
        <v>119</v>
      </c>
      <c r="AB202" s="83">
        <v>115</v>
      </c>
      <c r="AC202" s="83">
        <v>110</v>
      </c>
      <c r="AD202" s="83">
        <v>105</v>
      </c>
      <c r="AE202" s="83">
        <v>111</v>
      </c>
      <c r="AF202" s="83">
        <v>107</v>
      </c>
      <c r="AG202" s="83">
        <v>100</v>
      </c>
      <c r="AH202" s="83">
        <v>97</v>
      </c>
      <c r="AI202" s="83">
        <v>94</v>
      </c>
      <c r="AJ202" s="83">
        <v>94</v>
      </c>
      <c r="AK202" s="83">
        <v>94</v>
      </c>
      <c r="AL202" s="83">
        <v>92</v>
      </c>
      <c r="AM202" s="83">
        <v>99</v>
      </c>
      <c r="AN202" s="83">
        <v>91</v>
      </c>
      <c r="AO202" s="83">
        <v>90</v>
      </c>
      <c r="AP202" s="83">
        <v>89</v>
      </c>
      <c r="AQ202" s="83">
        <v>94</v>
      </c>
      <c r="AR202" s="83">
        <v>94</v>
      </c>
      <c r="AS202" s="83">
        <v>87</v>
      </c>
      <c r="AT202" s="83">
        <v>83</v>
      </c>
      <c r="AU202" s="83">
        <v>79</v>
      </c>
      <c r="AV202" s="83">
        <v>77</v>
      </c>
      <c r="AW202" s="83">
        <v>75</v>
      </c>
    </row>
    <row r="203" spans="1:49" x14ac:dyDescent="0.15">
      <c r="A203" s="83">
        <v>20200507</v>
      </c>
      <c r="B203" s="83">
        <v>58</v>
      </c>
      <c r="C203" s="83">
        <v>40</v>
      </c>
      <c r="D203" s="83">
        <v>38</v>
      </c>
      <c r="E203" s="83">
        <v>37</v>
      </c>
      <c r="F203" s="83">
        <v>37</v>
      </c>
      <c r="G203" s="83">
        <v>41</v>
      </c>
      <c r="H203" s="83">
        <v>40</v>
      </c>
      <c r="I203" s="83">
        <v>39</v>
      </c>
      <c r="J203" s="83">
        <v>36</v>
      </c>
      <c r="K203" s="83">
        <v>34</v>
      </c>
      <c r="L203" s="83">
        <v>36</v>
      </c>
      <c r="M203" s="83">
        <v>63</v>
      </c>
      <c r="N203" s="83">
        <v>81</v>
      </c>
      <c r="O203" s="83">
        <v>80</v>
      </c>
      <c r="P203" s="83">
        <v>94</v>
      </c>
      <c r="Q203" s="83">
        <v>96</v>
      </c>
      <c r="R203" s="83">
        <v>104</v>
      </c>
      <c r="S203" s="83">
        <v>105</v>
      </c>
      <c r="T203" s="83">
        <v>114</v>
      </c>
      <c r="U203" s="83">
        <v>111</v>
      </c>
      <c r="V203" s="83">
        <v>103</v>
      </c>
      <c r="W203" s="83">
        <v>108</v>
      </c>
      <c r="X203" s="83">
        <v>110</v>
      </c>
      <c r="Y203" s="83">
        <v>110</v>
      </c>
      <c r="Z203" s="83">
        <v>116</v>
      </c>
      <c r="AA203" s="83">
        <v>115</v>
      </c>
      <c r="AB203" s="83">
        <v>107</v>
      </c>
      <c r="AC203" s="83">
        <v>110</v>
      </c>
      <c r="AD203" s="83">
        <v>103</v>
      </c>
      <c r="AE203" s="83">
        <v>117</v>
      </c>
      <c r="AF203" s="83">
        <v>110</v>
      </c>
      <c r="AG203" s="83">
        <v>109</v>
      </c>
      <c r="AH203" s="83">
        <v>102</v>
      </c>
      <c r="AI203" s="83">
        <v>100</v>
      </c>
      <c r="AJ203" s="83">
        <v>97</v>
      </c>
      <c r="AK203" s="83">
        <v>92</v>
      </c>
      <c r="AL203" s="83">
        <v>92</v>
      </c>
      <c r="AM203" s="83">
        <v>98</v>
      </c>
      <c r="AN203" s="83">
        <v>96</v>
      </c>
      <c r="AO203" s="83">
        <v>94</v>
      </c>
      <c r="AP203" s="83">
        <v>90</v>
      </c>
      <c r="AQ203" s="83">
        <v>92</v>
      </c>
      <c r="AR203" s="83">
        <v>96</v>
      </c>
      <c r="AS203" s="83">
        <v>96</v>
      </c>
      <c r="AT203" s="83">
        <v>92</v>
      </c>
      <c r="AU203" s="83">
        <v>79</v>
      </c>
      <c r="AV203" s="83">
        <v>78</v>
      </c>
      <c r="AW203" s="83">
        <v>75</v>
      </c>
    </row>
    <row r="204" spans="1:49" x14ac:dyDescent="0.15">
      <c r="A204" s="83">
        <v>20200508</v>
      </c>
      <c r="B204" s="83">
        <v>55</v>
      </c>
      <c r="C204" s="83">
        <v>41</v>
      </c>
      <c r="D204" s="83">
        <v>39</v>
      </c>
      <c r="E204" s="83">
        <v>35</v>
      </c>
      <c r="F204" s="83">
        <v>37</v>
      </c>
      <c r="G204" s="83">
        <v>41</v>
      </c>
      <c r="H204" s="83">
        <v>40</v>
      </c>
      <c r="I204" s="83">
        <v>37</v>
      </c>
      <c r="J204" s="83">
        <v>34</v>
      </c>
      <c r="K204" s="83">
        <v>35</v>
      </c>
      <c r="L204" s="83">
        <v>34</v>
      </c>
      <c r="M204" s="83">
        <v>46</v>
      </c>
      <c r="N204" s="83">
        <v>88</v>
      </c>
      <c r="O204" s="83">
        <v>78</v>
      </c>
      <c r="P204" s="83">
        <v>96</v>
      </c>
      <c r="Q204" s="83">
        <v>98</v>
      </c>
      <c r="R204" s="83">
        <v>96</v>
      </c>
      <c r="S204" s="83">
        <v>111</v>
      </c>
      <c r="T204" s="83">
        <v>116</v>
      </c>
      <c r="U204" s="83">
        <v>118</v>
      </c>
      <c r="V204" s="83">
        <v>109</v>
      </c>
      <c r="W204" s="83">
        <v>112</v>
      </c>
      <c r="X204" s="83">
        <v>112</v>
      </c>
      <c r="Y204" s="83">
        <v>115</v>
      </c>
      <c r="Z204" s="83">
        <v>113</v>
      </c>
      <c r="AA204" s="83">
        <v>121</v>
      </c>
      <c r="AB204" s="83">
        <v>113</v>
      </c>
      <c r="AC204" s="83">
        <v>119</v>
      </c>
      <c r="AD204" s="83">
        <v>120</v>
      </c>
      <c r="AE204" s="83">
        <v>125</v>
      </c>
      <c r="AF204" s="83">
        <v>117</v>
      </c>
      <c r="AG204" s="83">
        <v>112</v>
      </c>
      <c r="AH204" s="83">
        <v>108</v>
      </c>
      <c r="AI204" s="83">
        <v>105</v>
      </c>
      <c r="AJ204" s="83">
        <v>106</v>
      </c>
      <c r="AK204" s="83">
        <v>105</v>
      </c>
      <c r="AL204" s="83">
        <v>100</v>
      </c>
      <c r="AM204" s="83">
        <v>100</v>
      </c>
      <c r="AN204" s="83">
        <v>94</v>
      </c>
      <c r="AO204" s="83">
        <v>95</v>
      </c>
      <c r="AP204" s="83">
        <v>91</v>
      </c>
      <c r="AQ204" s="83">
        <v>99</v>
      </c>
      <c r="AR204" s="83">
        <v>96</v>
      </c>
      <c r="AS204" s="83">
        <v>90</v>
      </c>
      <c r="AT204" s="83">
        <v>86</v>
      </c>
      <c r="AU204" s="83">
        <v>83</v>
      </c>
      <c r="AV204" s="83">
        <v>82</v>
      </c>
      <c r="AW204" s="83">
        <v>82</v>
      </c>
    </row>
    <row r="205" spans="1:49" x14ac:dyDescent="0.15">
      <c r="A205" s="83">
        <v>20200509</v>
      </c>
      <c r="B205" s="83">
        <v>62</v>
      </c>
      <c r="C205" s="83">
        <v>45</v>
      </c>
      <c r="D205" s="83">
        <v>42</v>
      </c>
      <c r="E205" s="83">
        <v>40</v>
      </c>
      <c r="F205" s="83">
        <v>39</v>
      </c>
      <c r="G205" s="83">
        <v>45</v>
      </c>
      <c r="H205" s="83">
        <v>42</v>
      </c>
      <c r="I205" s="83">
        <v>41</v>
      </c>
      <c r="J205" s="83">
        <v>39</v>
      </c>
      <c r="K205" s="83">
        <v>36</v>
      </c>
      <c r="L205" s="83">
        <v>39</v>
      </c>
      <c r="M205" s="83">
        <v>50</v>
      </c>
      <c r="N205" s="83">
        <v>94</v>
      </c>
      <c r="O205" s="83">
        <v>79</v>
      </c>
      <c r="P205" s="83">
        <v>101</v>
      </c>
      <c r="Q205" s="83">
        <v>103</v>
      </c>
      <c r="R205" s="83">
        <v>102</v>
      </c>
      <c r="S205" s="83">
        <v>119</v>
      </c>
      <c r="T205" s="83">
        <v>116</v>
      </c>
      <c r="U205" s="83">
        <v>117</v>
      </c>
      <c r="V205" s="83">
        <v>116</v>
      </c>
      <c r="W205" s="83">
        <v>116</v>
      </c>
      <c r="X205" s="83">
        <v>115</v>
      </c>
      <c r="Y205" s="83">
        <v>121</v>
      </c>
      <c r="Z205" s="83">
        <v>118</v>
      </c>
      <c r="AA205" s="83">
        <v>118</v>
      </c>
      <c r="AB205" s="83">
        <v>124</v>
      </c>
      <c r="AC205" s="83">
        <v>116</v>
      </c>
      <c r="AD205" s="83">
        <v>117</v>
      </c>
      <c r="AE205" s="83">
        <v>128</v>
      </c>
      <c r="AF205" s="83">
        <v>124</v>
      </c>
      <c r="AG205" s="83">
        <v>123</v>
      </c>
      <c r="AH205" s="83">
        <v>110</v>
      </c>
      <c r="AI205" s="83">
        <v>106</v>
      </c>
      <c r="AJ205" s="83">
        <v>102</v>
      </c>
      <c r="AK205" s="83">
        <v>100</v>
      </c>
      <c r="AL205" s="83">
        <v>95</v>
      </c>
      <c r="AM205" s="83">
        <v>105</v>
      </c>
      <c r="AN205" s="83">
        <v>102</v>
      </c>
      <c r="AO205" s="83">
        <v>100</v>
      </c>
      <c r="AP205" s="83">
        <v>95</v>
      </c>
      <c r="AQ205" s="83">
        <v>101</v>
      </c>
      <c r="AR205" s="83">
        <v>98</v>
      </c>
      <c r="AS205" s="83">
        <v>94</v>
      </c>
      <c r="AT205" s="83">
        <v>90</v>
      </c>
      <c r="AU205" s="83">
        <v>88</v>
      </c>
      <c r="AV205" s="83">
        <v>83</v>
      </c>
      <c r="AW205" s="83">
        <v>84</v>
      </c>
    </row>
    <row r="206" spans="1:49" x14ac:dyDescent="0.15">
      <c r="A206" s="83">
        <v>20200510</v>
      </c>
      <c r="B206" s="83">
        <v>60</v>
      </c>
      <c r="C206" s="83">
        <v>44</v>
      </c>
      <c r="D206" s="83">
        <v>42</v>
      </c>
      <c r="E206" s="83">
        <v>41</v>
      </c>
      <c r="F206" s="83">
        <v>40</v>
      </c>
      <c r="G206" s="83">
        <v>46</v>
      </c>
      <c r="H206" s="83">
        <v>45</v>
      </c>
      <c r="I206" s="83">
        <v>43</v>
      </c>
      <c r="J206" s="83">
        <v>42</v>
      </c>
      <c r="K206" s="83">
        <v>41</v>
      </c>
      <c r="L206" s="83">
        <v>43</v>
      </c>
      <c r="M206" s="83">
        <v>56</v>
      </c>
      <c r="N206" s="83">
        <v>97</v>
      </c>
      <c r="O206" s="83">
        <v>88</v>
      </c>
      <c r="P206" s="83">
        <v>102</v>
      </c>
      <c r="Q206" s="83">
        <v>98</v>
      </c>
      <c r="R206" s="83">
        <v>104</v>
      </c>
      <c r="S206" s="83">
        <v>121</v>
      </c>
      <c r="T206" s="83">
        <v>120</v>
      </c>
      <c r="U206" s="83">
        <v>117</v>
      </c>
      <c r="V206" s="83">
        <v>112</v>
      </c>
      <c r="W206" s="83">
        <v>111</v>
      </c>
      <c r="X206" s="83">
        <v>121</v>
      </c>
      <c r="Y206" s="83">
        <v>121</v>
      </c>
      <c r="Z206" s="83">
        <v>116</v>
      </c>
      <c r="AA206" s="83">
        <v>131</v>
      </c>
      <c r="AB206" s="83">
        <v>129</v>
      </c>
      <c r="AC206" s="83">
        <v>134</v>
      </c>
      <c r="AD206" s="83">
        <v>121</v>
      </c>
      <c r="AE206" s="83">
        <v>130</v>
      </c>
      <c r="AF206" s="83">
        <v>136</v>
      </c>
      <c r="AG206" s="83">
        <v>133</v>
      </c>
      <c r="AH206" s="83">
        <v>129</v>
      </c>
      <c r="AI206" s="83">
        <v>124</v>
      </c>
      <c r="AJ206" s="83">
        <v>118</v>
      </c>
      <c r="AK206" s="83">
        <v>118</v>
      </c>
      <c r="AL206" s="83">
        <v>103</v>
      </c>
      <c r="AM206" s="83">
        <v>110</v>
      </c>
      <c r="AN206" s="83">
        <v>108</v>
      </c>
      <c r="AO206" s="83">
        <v>110</v>
      </c>
      <c r="AP206" s="83">
        <v>98</v>
      </c>
      <c r="AQ206" s="83">
        <v>111</v>
      </c>
      <c r="AR206" s="83">
        <v>104</v>
      </c>
      <c r="AS206" s="83">
        <v>98</v>
      </c>
      <c r="AT206" s="83">
        <v>96</v>
      </c>
      <c r="AU206" s="83">
        <v>91</v>
      </c>
      <c r="AV206" s="83">
        <v>88</v>
      </c>
      <c r="AW206" s="83">
        <v>87</v>
      </c>
    </row>
    <row r="207" spans="1:49" x14ac:dyDescent="0.15">
      <c r="A207" s="83">
        <v>20200511</v>
      </c>
      <c r="B207" s="83">
        <v>65</v>
      </c>
      <c r="C207" s="83">
        <v>46</v>
      </c>
      <c r="D207" s="83">
        <v>48</v>
      </c>
      <c r="E207" s="83">
        <v>43</v>
      </c>
      <c r="F207" s="83">
        <v>42</v>
      </c>
      <c r="G207" s="83">
        <v>49</v>
      </c>
      <c r="H207" s="83">
        <v>47</v>
      </c>
      <c r="I207" s="83">
        <v>45</v>
      </c>
      <c r="J207" s="83">
        <v>43</v>
      </c>
      <c r="K207" s="83">
        <v>41</v>
      </c>
      <c r="L207" s="83">
        <v>41</v>
      </c>
      <c r="M207" s="83">
        <v>55</v>
      </c>
      <c r="N207" s="83">
        <v>95</v>
      </c>
      <c r="O207" s="83">
        <v>83</v>
      </c>
      <c r="P207" s="83">
        <v>98</v>
      </c>
      <c r="Q207" s="83">
        <v>102</v>
      </c>
      <c r="R207" s="83">
        <v>106</v>
      </c>
      <c r="S207" s="83">
        <v>120</v>
      </c>
      <c r="T207" s="83">
        <v>125</v>
      </c>
      <c r="U207" s="83">
        <v>127</v>
      </c>
      <c r="V207" s="83">
        <v>125</v>
      </c>
      <c r="W207" s="83">
        <v>127</v>
      </c>
      <c r="X207" s="83">
        <v>128</v>
      </c>
      <c r="Y207" s="83">
        <v>130</v>
      </c>
      <c r="Z207" s="83">
        <v>123</v>
      </c>
      <c r="AA207" s="83">
        <v>139</v>
      </c>
      <c r="AB207" s="83">
        <v>124</v>
      </c>
      <c r="AC207" s="83">
        <v>127</v>
      </c>
      <c r="AD207" s="83">
        <v>122</v>
      </c>
      <c r="AE207" s="83">
        <v>131</v>
      </c>
      <c r="AF207" s="83">
        <v>132</v>
      </c>
      <c r="AG207" s="83">
        <v>125</v>
      </c>
      <c r="AH207" s="83">
        <v>121</v>
      </c>
      <c r="AI207" s="83">
        <v>117</v>
      </c>
      <c r="AJ207" s="83">
        <v>111</v>
      </c>
      <c r="AK207" s="83">
        <v>107</v>
      </c>
      <c r="AL207" s="83">
        <v>97</v>
      </c>
      <c r="AM207" s="83">
        <v>112</v>
      </c>
      <c r="AN207" s="83">
        <v>104</v>
      </c>
      <c r="AO207" s="83">
        <v>99</v>
      </c>
      <c r="AP207" s="83">
        <v>94</v>
      </c>
      <c r="AQ207" s="83">
        <v>100</v>
      </c>
      <c r="AR207" s="83">
        <v>97</v>
      </c>
      <c r="AS207" s="83">
        <v>93</v>
      </c>
      <c r="AT207" s="83">
        <v>88</v>
      </c>
      <c r="AU207" s="83">
        <v>85</v>
      </c>
      <c r="AV207" s="83">
        <v>83</v>
      </c>
      <c r="AW207" s="83">
        <v>82</v>
      </c>
    </row>
    <row r="208" spans="1:49" x14ac:dyDescent="0.15">
      <c r="A208" s="83">
        <v>20200512</v>
      </c>
      <c r="B208" s="83">
        <v>67</v>
      </c>
      <c r="C208" s="83">
        <v>54</v>
      </c>
      <c r="D208" s="83">
        <v>53</v>
      </c>
      <c r="E208" s="83">
        <v>49</v>
      </c>
      <c r="F208" s="83">
        <v>50</v>
      </c>
      <c r="G208" s="83">
        <v>55</v>
      </c>
      <c r="H208" s="83">
        <v>56</v>
      </c>
      <c r="I208" s="83">
        <v>54</v>
      </c>
      <c r="J208" s="83">
        <v>51</v>
      </c>
      <c r="K208" s="83">
        <v>48</v>
      </c>
      <c r="L208" s="83">
        <v>50</v>
      </c>
      <c r="M208" s="83">
        <v>56</v>
      </c>
      <c r="N208" s="83">
        <v>94</v>
      </c>
      <c r="O208" s="83">
        <v>82</v>
      </c>
      <c r="P208" s="83">
        <v>100</v>
      </c>
      <c r="Q208" s="83">
        <v>102</v>
      </c>
      <c r="R208" s="83">
        <v>104</v>
      </c>
      <c r="S208" s="83">
        <v>120</v>
      </c>
      <c r="T208" s="83">
        <v>122</v>
      </c>
      <c r="U208" s="83">
        <v>123</v>
      </c>
      <c r="V208" s="83">
        <v>122</v>
      </c>
      <c r="W208" s="83">
        <v>129</v>
      </c>
      <c r="X208" s="83">
        <v>130</v>
      </c>
      <c r="Y208" s="83">
        <v>137</v>
      </c>
      <c r="Z208" s="83">
        <v>121</v>
      </c>
      <c r="AA208" s="83">
        <v>136</v>
      </c>
      <c r="AB208" s="83">
        <v>134</v>
      </c>
      <c r="AC208" s="83">
        <v>137</v>
      </c>
      <c r="AD208" s="83">
        <v>126</v>
      </c>
      <c r="AE208" s="83">
        <v>138</v>
      </c>
      <c r="AF208" s="83">
        <v>135</v>
      </c>
      <c r="AG208" s="83">
        <v>130</v>
      </c>
      <c r="AH208" s="83">
        <v>132</v>
      </c>
      <c r="AI208" s="83">
        <v>130</v>
      </c>
      <c r="AJ208" s="83">
        <v>114</v>
      </c>
      <c r="AK208" s="83">
        <v>112</v>
      </c>
      <c r="AL208" s="83">
        <v>101</v>
      </c>
      <c r="AM208" s="83">
        <v>112</v>
      </c>
      <c r="AN208" s="83">
        <v>102</v>
      </c>
      <c r="AO208" s="83">
        <v>101</v>
      </c>
      <c r="AP208" s="83">
        <v>96</v>
      </c>
      <c r="AQ208" s="83">
        <v>103</v>
      </c>
      <c r="AR208" s="83">
        <v>101</v>
      </c>
      <c r="AS208" s="83">
        <v>94</v>
      </c>
      <c r="AT208" s="83">
        <v>91</v>
      </c>
      <c r="AU208" s="83">
        <v>88</v>
      </c>
      <c r="AV208" s="83">
        <v>85</v>
      </c>
      <c r="AW208" s="83">
        <v>87</v>
      </c>
    </row>
    <row r="209" spans="1:49" x14ac:dyDescent="0.15">
      <c r="A209" s="83">
        <v>20200513</v>
      </c>
      <c r="B209" s="83">
        <v>64</v>
      </c>
      <c r="C209" s="83">
        <v>44</v>
      </c>
      <c r="D209" s="83">
        <v>45</v>
      </c>
      <c r="E209" s="83">
        <v>43</v>
      </c>
      <c r="F209" s="83">
        <v>42</v>
      </c>
      <c r="G209" s="83">
        <v>46</v>
      </c>
      <c r="H209" s="83">
        <v>45</v>
      </c>
      <c r="I209" s="83">
        <v>43</v>
      </c>
      <c r="J209" s="83">
        <v>41</v>
      </c>
      <c r="K209" s="83">
        <v>38</v>
      </c>
      <c r="L209" s="83">
        <v>40</v>
      </c>
      <c r="M209" s="83">
        <v>69</v>
      </c>
      <c r="N209" s="83">
        <v>84</v>
      </c>
      <c r="O209" s="83">
        <v>81</v>
      </c>
      <c r="P209" s="83">
        <v>98</v>
      </c>
      <c r="Q209" s="83">
        <v>104</v>
      </c>
      <c r="R209" s="83">
        <v>106</v>
      </c>
      <c r="S209" s="83">
        <v>122</v>
      </c>
      <c r="T209" s="83">
        <v>127</v>
      </c>
      <c r="U209" s="83">
        <v>126</v>
      </c>
      <c r="V209" s="83">
        <v>124</v>
      </c>
      <c r="W209" s="83">
        <v>123</v>
      </c>
      <c r="X209" s="83">
        <v>125</v>
      </c>
      <c r="Y209" s="83">
        <v>122</v>
      </c>
      <c r="Z209" s="83">
        <v>121</v>
      </c>
      <c r="AA209" s="83">
        <v>128</v>
      </c>
      <c r="AB209" s="83">
        <v>116</v>
      </c>
      <c r="AC209" s="83">
        <v>118</v>
      </c>
      <c r="AD209" s="83">
        <v>114</v>
      </c>
      <c r="AE209" s="83">
        <v>120</v>
      </c>
      <c r="AF209" s="83">
        <v>113</v>
      </c>
      <c r="AG209" s="83">
        <v>105</v>
      </c>
      <c r="AH209" s="83">
        <v>106</v>
      </c>
      <c r="AI209" s="83">
        <v>98</v>
      </c>
      <c r="AJ209" s="83">
        <v>99</v>
      </c>
      <c r="AK209" s="83">
        <v>96</v>
      </c>
      <c r="AL209" s="83">
        <v>91</v>
      </c>
      <c r="AM209" s="83">
        <v>105</v>
      </c>
      <c r="AN209" s="83">
        <v>92</v>
      </c>
      <c r="AO209" s="83">
        <v>92</v>
      </c>
      <c r="AP209" s="83">
        <v>87</v>
      </c>
      <c r="AQ209" s="83">
        <v>97</v>
      </c>
      <c r="AR209" s="83">
        <v>94</v>
      </c>
      <c r="AS209" s="83">
        <v>88</v>
      </c>
      <c r="AT209" s="83">
        <v>85</v>
      </c>
      <c r="AU209" s="83">
        <v>83</v>
      </c>
      <c r="AV209" s="83">
        <v>80</v>
      </c>
      <c r="AW209" s="83">
        <v>78</v>
      </c>
    </row>
    <row r="210" spans="1:49" x14ac:dyDescent="0.15">
      <c r="A210" s="83">
        <v>20200514</v>
      </c>
      <c r="B210" s="83">
        <v>64</v>
      </c>
      <c r="C210" s="83">
        <v>42</v>
      </c>
      <c r="D210" s="83">
        <v>41</v>
      </c>
      <c r="E210" s="83">
        <v>39</v>
      </c>
      <c r="F210" s="83">
        <v>40</v>
      </c>
      <c r="G210" s="83">
        <v>43</v>
      </c>
      <c r="H210" s="83">
        <v>41</v>
      </c>
      <c r="I210" s="83">
        <v>39</v>
      </c>
      <c r="J210" s="83">
        <v>38</v>
      </c>
      <c r="K210" s="83">
        <v>36</v>
      </c>
      <c r="L210" s="83">
        <v>38</v>
      </c>
      <c r="M210" s="83">
        <v>55</v>
      </c>
      <c r="N210" s="83">
        <v>86</v>
      </c>
      <c r="O210" s="83">
        <v>82</v>
      </c>
      <c r="P210" s="83">
        <v>98</v>
      </c>
      <c r="Q210" s="83">
        <v>101</v>
      </c>
      <c r="R210" s="83">
        <v>101</v>
      </c>
      <c r="S210" s="83">
        <v>117</v>
      </c>
      <c r="T210" s="83">
        <v>129</v>
      </c>
      <c r="U210" s="83">
        <v>123</v>
      </c>
      <c r="V210" s="83">
        <v>121</v>
      </c>
      <c r="W210" s="83">
        <v>124</v>
      </c>
      <c r="X210" s="83">
        <v>124</v>
      </c>
      <c r="Y210" s="83">
        <v>129</v>
      </c>
      <c r="Z210" s="83">
        <v>124</v>
      </c>
      <c r="AA210" s="83">
        <v>129</v>
      </c>
      <c r="AB210" s="83">
        <v>126</v>
      </c>
      <c r="AC210" s="83">
        <v>129</v>
      </c>
      <c r="AD210" s="83">
        <v>118</v>
      </c>
      <c r="AE210" s="83">
        <v>137</v>
      </c>
      <c r="AF210" s="83">
        <v>127</v>
      </c>
      <c r="AG210" s="83">
        <v>120</v>
      </c>
      <c r="AH210" s="83">
        <v>116</v>
      </c>
      <c r="AI210" s="83">
        <v>114</v>
      </c>
      <c r="AJ210" s="83">
        <v>109</v>
      </c>
      <c r="AK210" s="83">
        <v>107</v>
      </c>
      <c r="AL210" s="83">
        <v>99</v>
      </c>
      <c r="AM210" s="83">
        <v>105</v>
      </c>
      <c r="AN210" s="83">
        <v>101</v>
      </c>
      <c r="AO210" s="83">
        <v>102</v>
      </c>
      <c r="AP210" s="83">
        <v>97</v>
      </c>
      <c r="AQ210" s="83">
        <v>104</v>
      </c>
      <c r="AR210" s="83">
        <v>99</v>
      </c>
      <c r="AS210" s="83">
        <v>94</v>
      </c>
      <c r="AT210" s="83">
        <v>90</v>
      </c>
      <c r="AU210" s="83">
        <v>84</v>
      </c>
      <c r="AV210" s="83">
        <v>85</v>
      </c>
      <c r="AW210" s="83">
        <v>83</v>
      </c>
    </row>
    <row r="211" spans="1:49" x14ac:dyDescent="0.15">
      <c r="A211" s="83">
        <v>20200515</v>
      </c>
      <c r="B211" s="83">
        <v>60</v>
      </c>
      <c r="C211" s="83">
        <v>45</v>
      </c>
      <c r="D211" s="83">
        <v>44</v>
      </c>
      <c r="E211" s="83">
        <v>40</v>
      </c>
      <c r="F211" s="83">
        <v>40</v>
      </c>
      <c r="G211" s="83">
        <v>45</v>
      </c>
      <c r="H211" s="83">
        <v>44</v>
      </c>
      <c r="I211" s="83">
        <v>42</v>
      </c>
      <c r="J211" s="83">
        <v>39</v>
      </c>
      <c r="K211" s="83">
        <v>39</v>
      </c>
      <c r="L211" s="83">
        <v>38</v>
      </c>
      <c r="M211" s="83">
        <v>62</v>
      </c>
      <c r="N211" s="83">
        <v>83</v>
      </c>
      <c r="O211" s="83">
        <v>84</v>
      </c>
      <c r="P211" s="83">
        <v>100</v>
      </c>
      <c r="Q211" s="83">
        <v>99</v>
      </c>
      <c r="R211" s="83">
        <v>106</v>
      </c>
      <c r="S211" s="83">
        <v>123</v>
      </c>
      <c r="T211" s="83">
        <v>122</v>
      </c>
      <c r="U211" s="83">
        <v>118</v>
      </c>
      <c r="V211" s="83">
        <v>115</v>
      </c>
      <c r="W211" s="83">
        <v>119</v>
      </c>
      <c r="X211" s="83">
        <v>121</v>
      </c>
      <c r="Y211" s="83">
        <v>120</v>
      </c>
      <c r="Z211" s="83">
        <v>118</v>
      </c>
      <c r="AA211" s="83">
        <v>126</v>
      </c>
      <c r="AB211" s="83">
        <v>121</v>
      </c>
      <c r="AC211" s="83">
        <v>124</v>
      </c>
      <c r="AD211" s="83">
        <v>108</v>
      </c>
      <c r="AE211" s="83">
        <v>127</v>
      </c>
      <c r="AF211" s="83">
        <v>124</v>
      </c>
      <c r="AG211" s="83">
        <v>114</v>
      </c>
      <c r="AH211" s="83">
        <v>111</v>
      </c>
      <c r="AI211" s="83">
        <v>110</v>
      </c>
      <c r="AJ211" s="83">
        <v>105</v>
      </c>
      <c r="AK211" s="83">
        <v>107</v>
      </c>
      <c r="AL211" s="83">
        <v>104</v>
      </c>
      <c r="AM211" s="83">
        <v>112</v>
      </c>
      <c r="AN211" s="83">
        <v>101</v>
      </c>
      <c r="AO211" s="83">
        <v>100</v>
      </c>
      <c r="AP211" s="83">
        <v>95</v>
      </c>
      <c r="AQ211" s="83">
        <v>103</v>
      </c>
      <c r="AR211" s="83">
        <v>98</v>
      </c>
      <c r="AS211" s="83">
        <v>95</v>
      </c>
      <c r="AT211" s="83">
        <v>90</v>
      </c>
      <c r="AU211" s="83">
        <v>89</v>
      </c>
      <c r="AV211" s="83">
        <v>87</v>
      </c>
      <c r="AW211" s="83">
        <v>87</v>
      </c>
    </row>
    <row r="212" spans="1:49" x14ac:dyDescent="0.15">
      <c r="A212" s="83">
        <v>20200516</v>
      </c>
      <c r="B212" s="83">
        <v>65</v>
      </c>
      <c r="C212" s="83">
        <v>47</v>
      </c>
      <c r="D212" s="83">
        <v>47</v>
      </c>
      <c r="E212" s="83">
        <v>45</v>
      </c>
      <c r="F212" s="83">
        <v>43</v>
      </c>
      <c r="G212" s="83">
        <v>49</v>
      </c>
      <c r="H212" s="83">
        <v>50</v>
      </c>
      <c r="I212" s="83">
        <v>46</v>
      </c>
      <c r="J212" s="83">
        <v>45</v>
      </c>
      <c r="K212" s="83">
        <v>43</v>
      </c>
      <c r="L212" s="83">
        <v>43</v>
      </c>
      <c r="M212" s="83">
        <v>72</v>
      </c>
      <c r="N212" s="83">
        <v>85</v>
      </c>
      <c r="O212" s="83">
        <v>94</v>
      </c>
      <c r="P212" s="83">
        <v>100</v>
      </c>
      <c r="Q212" s="83">
        <v>105</v>
      </c>
      <c r="R212" s="83">
        <v>102</v>
      </c>
      <c r="S212" s="83">
        <v>122</v>
      </c>
      <c r="T212" s="83">
        <v>132</v>
      </c>
      <c r="U212" s="83">
        <v>126</v>
      </c>
      <c r="V212" s="83">
        <v>120</v>
      </c>
      <c r="W212" s="83">
        <v>125</v>
      </c>
      <c r="X212" s="83">
        <v>124</v>
      </c>
      <c r="Y212" s="83">
        <v>125</v>
      </c>
      <c r="Z212" s="83">
        <v>117</v>
      </c>
      <c r="AA212" s="83">
        <v>125</v>
      </c>
      <c r="AB212" s="83">
        <v>129</v>
      </c>
      <c r="AC212" s="83">
        <v>127</v>
      </c>
      <c r="AD212" s="83">
        <v>111</v>
      </c>
      <c r="AE212" s="83">
        <v>123</v>
      </c>
      <c r="AF212" s="83">
        <v>116</v>
      </c>
      <c r="AG212" s="83">
        <v>113</v>
      </c>
      <c r="AH212" s="83">
        <v>111</v>
      </c>
      <c r="AI212" s="83">
        <v>110</v>
      </c>
      <c r="AJ212" s="83">
        <v>103</v>
      </c>
      <c r="AK212" s="83">
        <v>103</v>
      </c>
      <c r="AL212" s="83">
        <v>96</v>
      </c>
      <c r="AM212" s="83">
        <v>101</v>
      </c>
      <c r="AN212" s="83">
        <v>96</v>
      </c>
      <c r="AO212" s="83">
        <v>96</v>
      </c>
      <c r="AP212" s="83">
        <v>95</v>
      </c>
      <c r="AQ212" s="83">
        <v>104</v>
      </c>
      <c r="AR212" s="83">
        <v>100</v>
      </c>
      <c r="AS212" s="83">
        <v>95</v>
      </c>
      <c r="AT212" s="83">
        <v>91</v>
      </c>
      <c r="AU212" s="83">
        <v>90</v>
      </c>
      <c r="AV212" s="83">
        <v>87</v>
      </c>
      <c r="AW212" s="83">
        <v>85</v>
      </c>
    </row>
    <row r="213" spans="1:49" x14ac:dyDescent="0.15">
      <c r="A213" s="83">
        <v>20200517</v>
      </c>
      <c r="B213" s="83">
        <v>66</v>
      </c>
      <c r="C213" s="83">
        <v>46</v>
      </c>
      <c r="D213" s="83">
        <v>48</v>
      </c>
      <c r="E213" s="83">
        <v>43</v>
      </c>
      <c r="F213" s="83">
        <v>44</v>
      </c>
      <c r="G213" s="83">
        <v>49</v>
      </c>
      <c r="H213" s="83">
        <v>48</v>
      </c>
      <c r="I213" s="83">
        <v>47</v>
      </c>
      <c r="J213" s="83">
        <v>43</v>
      </c>
      <c r="K213" s="83">
        <v>41</v>
      </c>
      <c r="L213" s="83">
        <v>43</v>
      </c>
      <c r="M213" s="83">
        <v>66</v>
      </c>
      <c r="N213" s="83">
        <v>92</v>
      </c>
      <c r="O213" s="83">
        <v>89</v>
      </c>
      <c r="P213" s="83">
        <v>106</v>
      </c>
      <c r="Q213" s="83">
        <v>102</v>
      </c>
      <c r="R213" s="83">
        <v>107</v>
      </c>
      <c r="S213" s="83">
        <v>125</v>
      </c>
      <c r="T213" s="83">
        <v>133</v>
      </c>
      <c r="U213" s="83">
        <v>126</v>
      </c>
      <c r="V213" s="83">
        <v>127</v>
      </c>
      <c r="W213" s="83">
        <v>121</v>
      </c>
      <c r="X213" s="83">
        <v>121</v>
      </c>
      <c r="Y213" s="83">
        <v>125</v>
      </c>
      <c r="Z213" s="83">
        <v>125</v>
      </c>
      <c r="AA213" s="83">
        <v>127</v>
      </c>
      <c r="AB213" s="83">
        <v>123</v>
      </c>
      <c r="AC213" s="83">
        <v>126</v>
      </c>
      <c r="AD213" s="83">
        <v>119</v>
      </c>
      <c r="AE213" s="83">
        <v>123</v>
      </c>
      <c r="AF213" s="83">
        <v>124</v>
      </c>
      <c r="AG213" s="83">
        <v>121</v>
      </c>
      <c r="AH213" s="83">
        <v>114</v>
      </c>
      <c r="AI213" s="83">
        <v>110</v>
      </c>
      <c r="AJ213" s="83">
        <v>108</v>
      </c>
      <c r="AK213" s="83">
        <v>110</v>
      </c>
      <c r="AL213" s="83">
        <v>104</v>
      </c>
      <c r="AM213" s="83">
        <v>106</v>
      </c>
      <c r="AN213" s="83">
        <v>98</v>
      </c>
      <c r="AO213" s="83">
        <v>97</v>
      </c>
      <c r="AP213" s="83">
        <v>95</v>
      </c>
      <c r="AQ213" s="83">
        <v>103</v>
      </c>
      <c r="AR213" s="83">
        <v>100</v>
      </c>
      <c r="AS213" s="83">
        <v>94</v>
      </c>
      <c r="AT213" s="83">
        <v>91</v>
      </c>
      <c r="AU213" s="83">
        <v>88</v>
      </c>
      <c r="AV213" s="83">
        <v>87</v>
      </c>
      <c r="AW213" s="83">
        <v>84</v>
      </c>
    </row>
    <row r="214" spans="1:49" x14ac:dyDescent="0.15">
      <c r="A214" s="83">
        <v>20200518</v>
      </c>
      <c r="B214" s="83">
        <v>63</v>
      </c>
      <c r="C214" s="83">
        <v>46</v>
      </c>
      <c r="D214" s="83">
        <v>46</v>
      </c>
      <c r="E214" s="83">
        <v>43</v>
      </c>
      <c r="F214" s="83">
        <v>41</v>
      </c>
      <c r="G214" s="83">
        <v>47</v>
      </c>
      <c r="H214" s="83">
        <v>46</v>
      </c>
      <c r="I214" s="83">
        <v>43</v>
      </c>
      <c r="J214" s="83">
        <v>41</v>
      </c>
      <c r="K214" s="83">
        <v>40</v>
      </c>
      <c r="L214" s="83">
        <v>40</v>
      </c>
      <c r="M214" s="83">
        <v>65</v>
      </c>
      <c r="N214" s="83">
        <v>89</v>
      </c>
      <c r="O214" s="83">
        <v>84</v>
      </c>
      <c r="P214" s="83">
        <v>101</v>
      </c>
      <c r="Q214" s="83">
        <v>99</v>
      </c>
      <c r="R214" s="83">
        <v>114</v>
      </c>
      <c r="S214" s="83">
        <v>126</v>
      </c>
      <c r="T214" s="83">
        <v>133</v>
      </c>
      <c r="U214" s="83">
        <v>126</v>
      </c>
      <c r="V214" s="83">
        <v>130</v>
      </c>
      <c r="W214" s="83">
        <v>129</v>
      </c>
      <c r="X214" s="83">
        <v>126</v>
      </c>
      <c r="Y214" s="83">
        <v>132</v>
      </c>
      <c r="Z214" s="83">
        <v>130</v>
      </c>
      <c r="AA214" s="83">
        <v>130</v>
      </c>
      <c r="AB214" s="83">
        <v>122</v>
      </c>
      <c r="AC214" s="83">
        <v>119</v>
      </c>
      <c r="AD214" s="83">
        <v>108</v>
      </c>
      <c r="AE214" s="83">
        <v>125</v>
      </c>
      <c r="AF214" s="83">
        <v>128</v>
      </c>
      <c r="AG214" s="83">
        <v>130</v>
      </c>
      <c r="AH214" s="83">
        <v>122</v>
      </c>
      <c r="AI214" s="83">
        <v>121</v>
      </c>
      <c r="AJ214" s="83">
        <v>116</v>
      </c>
      <c r="AK214" s="83">
        <v>113</v>
      </c>
      <c r="AL214" s="83">
        <v>101</v>
      </c>
      <c r="AM214" s="83">
        <v>116</v>
      </c>
      <c r="AN214" s="83">
        <v>109</v>
      </c>
      <c r="AO214" s="83">
        <v>107</v>
      </c>
      <c r="AP214" s="83">
        <v>99</v>
      </c>
      <c r="AQ214" s="83">
        <v>103</v>
      </c>
      <c r="AR214" s="83">
        <v>101</v>
      </c>
      <c r="AS214" s="83">
        <v>96</v>
      </c>
      <c r="AT214" s="83">
        <v>94</v>
      </c>
      <c r="AU214" s="83">
        <v>95</v>
      </c>
      <c r="AV214" s="83">
        <v>93</v>
      </c>
      <c r="AW214" s="83">
        <v>93</v>
      </c>
    </row>
    <row r="215" spans="1:49" x14ac:dyDescent="0.15">
      <c r="A215" s="83">
        <v>20200519</v>
      </c>
      <c r="B215" s="83">
        <v>66</v>
      </c>
      <c r="C215" s="83">
        <v>51</v>
      </c>
      <c r="D215" s="83">
        <v>50</v>
      </c>
      <c r="E215" s="83">
        <v>48</v>
      </c>
      <c r="F215" s="83">
        <v>45</v>
      </c>
      <c r="G215" s="83">
        <v>52</v>
      </c>
      <c r="H215" s="83">
        <v>50</v>
      </c>
      <c r="I215" s="83">
        <v>49</v>
      </c>
      <c r="J215" s="83">
        <v>46</v>
      </c>
      <c r="K215" s="83">
        <v>45</v>
      </c>
      <c r="L215" s="83">
        <v>45</v>
      </c>
      <c r="M215" s="83">
        <v>58</v>
      </c>
      <c r="N215" s="83">
        <v>98</v>
      </c>
      <c r="O215" s="83">
        <v>92</v>
      </c>
      <c r="P215" s="83">
        <v>98</v>
      </c>
      <c r="Q215" s="83">
        <v>105</v>
      </c>
      <c r="R215" s="83">
        <v>113</v>
      </c>
      <c r="S215" s="83">
        <v>125</v>
      </c>
      <c r="T215" s="83">
        <v>122</v>
      </c>
      <c r="U215" s="83">
        <v>123</v>
      </c>
      <c r="V215" s="83">
        <v>121</v>
      </c>
      <c r="W215" s="83">
        <v>118</v>
      </c>
      <c r="X215" s="83">
        <v>121</v>
      </c>
      <c r="Y215" s="83">
        <v>124</v>
      </c>
      <c r="Z215" s="83">
        <v>123</v>
      </c>
      <c r="AA215" s="83">
        <v>136</v>
      </c>
      <c r="AB215" s="83">
        <v>131</v>
      </c>
      <c r="AC215" s="83">
        <v>127</v>
      </c>
      <c r="AD215" s="83">
        <v>118</v>
      </c>
      <c r="AE215" s="83">
        <v>129</v>
      </c>
      <c r="AF215" s="83">
        <v>132</v>
      </c>
      <c r="AG215" s="83">
        <v>124</v>
      </c>
      <c r="AH215" s="83">
        <v>122</v>
      </c>
      <c r="AI215" s="83">
        <v>116</v>
      </c>
      <c r="AJ215" s="83">
        <v>114</v>
      </c>
      <c r="AK215" s="83">
        <v>111</v>
      </c>
      <c r="AL215" s="83">
        <v>103</v>
      </c>
      <c r="AM215" s="83">
        <v>104</v>
      </c>
      <c r="AN215" s="83">
        <v>96</v>
      </c>
      <c r="AO215" s="83">
        <v>97</v>
      </c>
      <c r="AP215" s="83">
        <v>92</v>
      </c>
      <c r="AQ215" s="83">
        <v>101</v>
      </c>
      <c r="AR215" s="83">
        <v>100</v>
      </c>
      <c r="AS215" s="83">
        <v>95</v>
      </c>
      <c r="AT215" s="83">
        <v>91</v>
      </c>
      <c r="AU215" s="83">
        <v>88</v>
      </c>
      <c r="AV215" s="83">
        <v>86</v>
      </c>
      <c r="AW215" s="83">
        <v>83</v>
      </c>
    </row>
    <row r="216" spans="1:49" x14ac:dyDescent="0.15">
      <c r="A216" s="83">
        <v>20200520</v>
      </c>
      <c r="B216" s="83">
        <v>64</v>
      </c>
      <c r="C216" s="83">
        <v>44</v>
      </c>
      <c r="D216" s="83">
        <v>45</v>
      </c>
      <c r="E216" s="83">
        <v>41</v>
      </c>
      <c r="F216" s="83">
        <v>40</v>
      </c>
      <c r="G216" s="83">
        <v>44</v>
      </c>
      <c r="H216" s="83">
        <v>44</v>
      </c>
      <c r="I216" s="83">
        <v>43</v>
      </c>
      <c r="J216" s="83">
        <v>40</v>
      </c>
      <c r="K216" s="83">
        <v>39</v>
      </c>
      <c r="L216" s="83">
        <v>39</v>
      </c>
      <c r="M216" s="83">
        <v>55</v>
      </c>
      <c r="N216" s="83">
        <v>92</v>
      </c>
      <c r="O216" s="83">
        <v>81</v>
      </c>
      <c r="P216" s="83">
        <v>95</v>
      </c>
      <c r="Q216" s="83">
        <v>100</v>
      </c>
      <c r="R216" s="83">
        <v>100</v>
      </c>
      <c r="S216" s="83">
        <v>111</v>
      </c>
      <c r="T216" s="83">
        <v>119</v>
      </c>
      <c r="U216" s="83">
        <v>114</v>
      </c>
      <c r="V216" s="83">
        <v>104</v>
      </c>
      <c r="W216" s="83">
        <v>105</v>
      </c>
      <c r="X216" s="83">
        <v>103</v>
      </c>
      <c r="Y216" s="83">
        <v>102</v>
      </c>
      <c r="Z216" s="83">
        <v>108</v>
      </c>
      <c r="AA216" s="83">
        <v>106</v>
      </c>
      <c r="AB216" s="83">
        <v>102</v>
      </c>
      <c r="AC216" s="83">
        <v>105</v>
      </c>
      <c r="AD216" s="83">
        <v>102</v>
      </c>
      <c r="AE216" s="83">
        <v>113</v>
      </c>
      <c r="AF216" s="83">
        <v>103</v>
      </c>
      <c r="AG216" s="83">
        <v>100</v>
      </c>
      <c r="AH216" s="83">
        <v>97</v>
      </c>
      <c r="AI216" s="83">
        <v>97</v>
      </c>
      <c r="AJ216" s="83">
        <v>95</v>
      </c>
      <c r="AK216" s="83">
        <v>95</v>
      </c>
      <c r="AL216" s="83">
        <v>90</v>
      </c>
      <c r="AM216" s="83">
        <v>96</v>
      </c>
      <c r="AN216" s="83">
        <v>94</v>
      </c>
      <c r="AO216" s="83">
        <v>97</v>
      </c>
      <c r="AP216" s="83">
        <v>90</v>
      </c>
      <c r="AQ216" s="83">
        <v>94</v>
      </c>
      <c r="AR216" s="83">
        <v>91</v>
      </c>
      <c r="AS216" s="83">
        <v>86</v>
      </c>
      <c r="AT216" s="83">
        <v>84</v>
      </c>
      <c r="AU216" s="83">
        <v>82</v>
      </c>
      <c r="AV216" s="83">
        <v>80</v>
      </c>
      <c r="AW216" s="83">
        <v>81</v>
      </c>
    </row>
    <row r="217" spans="1:49" x14ac:dyDescent="0.15">
      <c r="A217" s="83">
        <v>20200521</v>
      </c>
      <c r="B217" s="83">
        <v>65</v>
      </c>
      <c r="C217" s="83">
        <v>53</v>
      </c>
      <c r="D217" s="83">
        <v>54</v>
      </c>
      <c r="E217" s="83">
        <v>52</v>
      </c>
      <c r="F217" s="83">
        <v>52</v>
      </c>
      <c r="G217" s="83">
        <v>64</v>
      </c>
      <c r="H217" s="83">
        <v>67</v>
      </c>
      <c r="I217" s="83">
        <v>67</v>
      </c>
      <c r="J217" s="83">
        <v>66</v>
      </c>
      <c r="K217" s="83">
        <v>64</v>
      </c>
      <c r="L217" s="83">
        <v>64</v>
      </c>
      <c r="M217" s="83">
        <v>83</v>
      </c>
      <c r="N217" s="83">
        <v>97</v>
      </c>
      <c r="O217" s="83">
        <v>89</v>
      </c>
      <c r="P217" s="83">
        <v>111</v>
      </c>
      <c r="Q217" s="83">
        <v>104</v>
      </c>
      <c r="R217" s="83">
        <v>109</v>
      </c>
      <c r="S217" s="83">
        <v>123</v>
      </c>
      <c r="T217" s="83">
        <v>129</v>
      </c>
      <c r="U217" s="83">
        <v>125</v>
      </c>
      <c r="V217" s="83">
        <v>113</v>
      </c>
      <c r="W217" s="83">
        <v>110</v>
      </c>
      <c r="X217" s="83">
        <v>108</v>
      </c>
      <c r="Y217" s="83">
        <v>108</v>
      </c>
      <c r="Z217" s="83">
        <v>112</v>
      </c>
      <c r="AA217" s="83">
        <v>115</v>
      </c>
      <c r="AB217" s="83">
        <v>112</v>
      </c>
      <c r="AC217" s="83">
        <v>106</v>
      </c>
      <c r="AD217" s="83">
        <v>99</v>
      </c>
      <c r="AE217" s="83">
        <v>116</v>
      </c>
      <c r="AF217" s="83">
        <v>111</v>
      </c>
      <c r="AG217" s="83">
        <v>104</v>
      </c>
      <c r="AH217" s="83">
        <v>102</v>
      </c>
      <c r="AI217" s="83">
        <v>100</v>
      </c>
      <c r="AJ217" s="83">
        <v>96</v>
      </c>
      <c r="AK217" s="83">
        <v>98</v>
      </c>
      <c r="AL217" s="83">
        <v>95</v>
      </c>
      <c r="AM217" s="83">
        <v>102</v>
      </c>
      <c r="AN217" s="83">
        <v>95</v>
      </c>
      <c r="AO217" s="83">
        <v>92</v>
      </c>
      <c r="AP217" s="83">
        <v>89</v>
      </c>
      <c r="AQ217" s="83">
        <v>98</v>
      </c>
      <c r="AR217" s="83">
        <v>94</v>
      </c>
      <c r="AS217" s="83">
        <v>89</v>
      </c>
      <c r="AT217" s="83">
        <v>86</v>
      </c>
      <c r="AU217" s="83">
        <v>84</v>
      </c>
      <c r="AV217" s="83">
        <v>83</v>
      </c>
      <c r="AW217" s="83">
        <v>82</v>
      </c>
    </row>
    <row r="218" spans="1:49" x14ac:dyDescent="0.15">
      <c r="A218" s="83">
        <v>20200522</v>
      </c>
      <c r="B218" s="83">
        <v>76</v>
      </c>
      <c r="C218" s="83">
        <v>71</v>
      </c>
      <c r="D218" s="83">
        <v>71</v>
      </c>
      <c r="E218" s="83">
        <v>69</v>
      </c>
      <c r="F218" s="83">
        <v>67</v>
      </c>
      <c r="G218" s="83">
        <v>73</v>
      </c>
      <c r="H218" s="83">
        <v>74</v>
      </c>
      <c r="I218" s="83">
        <v>72</v>
      </c>
      <c r="J218" s="83">
        <v>70</v>
      </c>
      <c r="K218" s="83">
        <v>69</v>
      </c>
      <c r="L218" s="83">
        <v>70</v>
      </c>
      <c r="M218" s="83">
        <v>80</v>
      </c>
      <c r="N218" s="83">
        <v>106</v>
      </c>
      <c r="O218" s="83">
        <v>93</v>
      </c>
      <c r="P218" s="83">
        <v>98</v>
      </c>
      <c r="Q218" s="83">
        <v>101</v>
      </c>
      <c r="R218" s="83">
        <v>112</v>
      </c>
      <c r="S218" s="83">
        <v>120</v>
      </c>
      <c r="T218" s="83">
        <v>115</v>
      </c>
      <c r="U218" s="83">
        <v>114</v>
      </c>
      <c r="V218" s="83">
        <v>113</v>
      </c>
      <c r="W218" s="83">
        <v>111</v>
      </c>
      <c r="X218" s="83">
        <v>112</v>
      </c>
      <c r="Y218" s="83">
        <v>121</v>
      </c>
      <c r="Z218" s="83">
        <v>118</v>
      </c>
      <c r="AA218" s="83">
        <v>122</v>
      </c>
      <c r="AB218" s="83">
        <v>125</v>
      </c>
      <c r="AC218" s="83">
        <v>131</v>
      </c>
      <c r="AD218" s="83">
        <v>117</v>
      </c>
      <c r="AE218" s="83">
        <v>133</v>
      </c>
      <c r="AF218" s="83">
        <v>125</v>
      </c>
      <c r="AG218" s="83">
        <v>118</v>
      </c>
      <c r="AH218" s="83">
        <v>109</v>
      </c>
      <c r="AI218" s="83">
        <v>108</v>
      </c>
      <c r="AJ218" s="83">
        <v>108</v>
      </c>
      <c r="AK218" s="83">
        <v>105</v>
      </c>
      <c r="AL218" s="83">
        <v>99</v>
      </c>
      <c r="AM218" s="83">
        <v>105</v>
      </c>
      <c r="AN218" s="83">
        <v>98</v>
      </c>
      <c r="AO218" s="83">
        <v>99</v>
      </c>
      <c r="AP218" s="83">
        <v>96</v>
      </c>
      <c r="AQ218" s="83">
        <v>102</v>
      </c>
      <c r="AR218" s="83">
        <v>100</v>
      </c>
      <c r="AS218" s="83">
        <v>95</v>
      </c>
      <c r="AT218" s="83">
        <v>92</v>
      </c>
      <c r="AU218" s="83">
        <v>90</v>
      </c>
      <c r="AV218" s="83">
        <v>87</v>
      </c>
      <c r="AW218" s="83">
        <v>86</v>
      </c>
    </row>
    <row r="219" spans="1:49" x14ac:dyDescent="0.15">
      <c r="A219" s="83">
        <v>20200523</v>
      </c>
      <c r="B219" s="83">
        <v>73</v>
      </c>
      <c r="C219" s="83">
        <v>63</v>
      </c>
      <c r="D219" s="83">
        <v>61</v>
      </c>
      <c r="E219" s="83">
        <v>58</v>
      </c>
      <c r="F219" s="83">
        <v>57</v>
      </c>
      <c r="G219" s="83">
        <v>62</v>
      </c>
      <c r="H219" s="83">
        <v>62</v>
      </c>
      <c r="I219" s="83">
        <v>62</v>
      </c>
      <c r="J219" s="83">
        <v>57</v>
      </c>
      <c r="K219" s="83">
        <v>56</v>
      </c>
      <c r="L219" s="83">
        <v>55</v>
      </c>
      <c r="M219" s="83">
        <v>76</v>
      </c>
      <c r="N219" s="83">
        <v>92</v>
      </c>
      <c r="O219" s="83">
        <v>88</v>
      </c>
      <c r="P219" s="83">
        <v>106</v>
      </c>
      <c r="Q219" s="83">
        <v>111</v>
      </c>
      <c r="R219" s="83">
        <v>113</v>
      </c>
      <c r="S219" s="83">
        <v>124</v>
      </c>
      <c r="T219" s="83">
        <v>134</v>
      </c>
      <c r="U219" s="83">
        <v>133</v>
      </c>
      <c r="V219" s="83">
        <v>133</v>
      </c>
      <c r="W219" s="83">
        <v>135</v>
      </c>
      <c r="X219" s="83">
        <v>141</v>
      </c>
      <c r="Y219" s="83">
        <v>141</v>
      </c>
      <c r="Z219" s="83">
        <v>133</v>
      </c>
      <c r="AA219" s="83">
        <v>142</v>
      </c>
      <c r="AB219" s="83">
        <v>140</v>
      </c>
      <c r="AC219" s="83">
        <v>133</v>
      </c>
      <c r="AD219" s="83">
        <v>123</v>
      </c>
      <c r="AE219" s="83">
        <v>141</v>
      </c>
      <c r="AF219" s="83">
        <v>138</v>
      </c>
      <c r="AG219" s="83">
        <v>131</v>
      </c>
      <c r="AH219" s="83">
        <v>127</v>
      </c>
      <c r="AI219" s="83">
        <v>124</v>
      </c>
      <c r="AJ219" s="83">
        <v>117</v>
      </c>
      <c r="AK219" s="83">
        <v>114</v>
      </c>
      <c r="AL219" s="83">
        <v>102</v>
      </c>
      <c r="AM219" s="83">
        <v>118</v>
      </c>
      <c r="AN219" s="83">
        <v>109</v>
      </c>
      <c r="AO219" s="83">
        <v>106</v>
      </c>
      <c r="AP219" s="83">
        <v>100</v>
      </c>
      <c r="AQ219" s="83">
        <v>106</v>
      </c>
      <c r="AR219" s="83">
        <v>102</v>
      </c>
      <c r="AS219" s="83">
        <v>97</v>
      </c>
      <c r="AT219" s="83">
        <v>93</v>
      </c>
      <c r="AU219" s="83">
        <v>91</v>
      </c>
      <c r="AV219" s="83">
        <v>89</v>
      </c>
      <c r="AW219" s="83">
        <v>86</v>
      </c>
    </row>
    <row r="220" spans="1:49" x14ac:dyDescent="0.15">
      <c r="A220" s="83">
        <v>20200524</v>
      </c>
      <c r="B220" s="83">
        <v>65</v>
      </c>
      <c r="C220" s="83">
        <v>48</v>
      </c>
      <c r="D220" s="83">
        <v>47</v>
      </c>
      <c r="E220" s="83">
        <v>44</v>
      </c>
      <c r="F220" s="83">
        <v>42</v>
      </c>
      <c r="G220" s="83">
        <v>46</v>
      </c>
      <c r="H220" s="83">
        <v>48</v>
      </c>
      <c r="I220" s="83">
        <v>44</v>
      </c>
      <c r="J220" s="83">
        <v>41</v>
      </c>
      <c r="K220" s="83">
        <v>42</v>
      </c>
      <c r="L220" s="83">
        <v>41</v>
      </c>
      <c r="M220" s="83">
        <v>59</v>
      </c>
      <c r="N220" s="83">
        <v>102</v>
      </c>
      <c r="O220" s="83">
        <v>100</v>
      </c>
      <c r="P220" s="83">
        <v>113</v>
      </c>
      <c r="Q220" s="83">
        <v>125</v>
      </c>
      <c r="R220" s="83">
        <v>120</v>
      </c>
      <c r="S220" s="83">
        <v>142</v>
      </c>
      <c r="T220" s="83">
        <v>153</v>
      </c>
      <c r="U220" s="83">
        <v>156</v>
      </c>
      <c r="V220" s="83">
        <v>155</v>
      </c>
      <c r="W220" s="83">
        <v>147</v>
      </c>
      <c r="X220" s="83">
        <v>152</v>
      </c>
      <c r="Y220" s="83">
        <v>155</v>
      </c>
      <c r="Z220" s="83">
        <v>147</v>
      </c>
      <c r="AA220" s="83">
        <v>158</v>
      </c>
      <c r="AB220" s="83">
        <v>166</v>
      </c>
      <c r="AC220" s="83">
        <v>162</v>
      </c>
      <c r="AD220" s="83">
        <v>148</v>
      </c>
      <c r="AE220" s="83">
        <v>165</v>
      </c>
      <c r="AF220" s="83">
        <v>160</v>
      </c>
      <c r="AG220" s="83">
        <v>156</v>
      </c>
      <c r="AH220" s="83">
        <v>149</v>
      </c>
      <c r="AI220" s="83">
        <v>144</v>
      </c>
      <c r="AJ220" s="83">
        <v>138</v>
      </c>
      <c r="AK220" s="83">
        <v>132</v>
      </c>
      <c r="AL220" s="83">
        <v>124</v>
      </c>
      <c r="AM220" s="83">
        <v>135</v>
      </c>
      <c r="AN220" s="83">
        <v>125</v>
      </c>
      <c r="AO220" s="83">
        <v>124</v>
      </c>
      <c r="AP220" s="83">
        <v>115</v>
      </c>
      <c r="AQ220" s="83">
        <v>128</v>
      </c>
      <c r="AR220" s="83">
        <v>124</v>
      </c>
      <c r="AS220" s="83">
        <v>113</v>
      </c>
      <c r="AT220" s="83">
        <v>112</v>
      </c>
      <c r="AU220" s="83">
        <v>112</v>
      </c>
      <c r="AV220" s="83">
        <v>107</v>
      </c>
      <c r="AW220" s="83">
        <v>102</v>
      </c>
    </row>
    <row r="221" spans="1:49" x14ac:dyDescent="0.15">
      <c r="A221" s="83">
        <v>20200525</v>
      </c>
      <c r="B221" s="83">
        <v>73</v>
      </c>
      <c r="C221" s="83">
        <v>53</v>
      </c>
      <c r="D221" s="83">
        <v>52</v>
      </c>
      <c r="E221" s="83">
        <v>51</v>
      </c>
      <c r="F221" s="83">
        <v>47</v>
      </c>
      <c r="G221" s="83">
        <v>52</v>
      </c>
      <c r="H221" s="83">
        <v>50</v>
      </c>
      <c r="I221" s="83">
        <v>50</v>
      </c>
      <c r="J221" s="83">
        <v>46</v>
      </c>
      <c r="K221" s="83">
        <v>45</v>
      </c>
      <c r="L221" s="83">
        <v>48</v>
      </c>
      <c r="M221" s="83">
        <v>62</v>
      </c>
      <c r="N221" s="83">
        <v>109</v>
      </c>
      <c r="O221" s="83">
        <v>100</v>
      </c>
      <c r="P221" s="83">
        <v>111</v>
      </c>
      <c r="Q221" s="83">
        <v>116</v>
      </c>
      <c r="R221" s="83">
        <v>121</v>
      </c>
      <c r="S221" s="83">
        <v>139</v>
      </c>
      <c r="T221" s="83">
        <v>140</v>
      </c>
      <c r="U221" s="83">
        <v>146</v>
      </c>
      <c r="V221" s="83">
        <v>145</v>
      </c>
      <c r="W221" s="83">
        <v>144</v>
      </c>
      <c r="X221" s="83">
        <v>143</v>
      </c>
      <c r="Y221" s="83">
        <v>132</v>
      </c>
      <c r="Z221" s="83">
        <v>138</v>
      </c>
      <c r="AA221" s="83">
        <v>140</v>
      </c>
      <c r="AB221" s="83">
        <v>135</v>
      </c>
      <c r="AC221" s="83">
        <v>133</v>
      </c>
      <c r="AD221" s="83">
        <v>120</v>
      </c>
      <c r="AE221" s="83">
        <v>138</v>
      </c>
      <c r="AF221" s="83">
        <v>140</v>
      </c>
      <c r="AG221" s="83">
        <v>132</v>
      </c>
      <c r="AH221" s="83">
        <v>127</v>
      </c>
      <c r="AI221" s="83">
        <v>121</v>
      </c>
      <c r="AJ221" s="83">
        <v>120</v>
      </c>
      <c r="AK221" s="83">
        <v>115</v>
      </c>
      <c r="AL221" s="83">
        <v>107</v>
      </c>
      <c r="AM221" s="83">
        <v>118</v>
      </c>
      <c r="AN221" s="83">
        <v>106</v>
      </c>
      <c r="AO221" s="83">
        <v>108</v>
      </c>
      <c r="AP221" s="83">
        <v>100</v>
      </c>
      <c r="AQ221" s="83">
        <v>107</v>
      </c>
      <c r="AR221" s="83">
        <v>106</v>
      </c>
      <c r="AS221" s="83">
        <v>101</v>
      </c>
      <c r="AT221" s="83">
        <v>97</v>
      </c>
      <c r="AU221" s="83">
        <v>95</v>
      </c>
      <c r="AV221" s="83">
        <v>93</v>
      </c>
      <c r="AW221" s="83">
        <v>92</v>
      </c>
    </row>
    <row r="222" spans="1:49" x14ac:dyDescent="0.15">
      <c r="A222" s="83">
        <v>20200526</v>
      </c>
      <c r="B222" s="83">
        <v>67</v>
      </c>
      <c r="C222" s="83">
        <v>49</v>
      </c>
      <c r="D222" s="83">
        <v>51</v>
      </c>
      <c r="E222" s="83">
        <v>47</v>
      </c>
      <c r="F222" s="83">
        <v>43</v>
      </c>
      <c r="G222" s="83">
        <v>50</v>
      </c>
      <c r="H222" s="83">
        <v>49</v>
      </c>
      <c r="I222" s="83">
        <v>48</v>
      </c>
      <c r="J222" s="83">
        <v>45</v>
      </c>
      <c r="K222" s="83">
        <v>44</v>
      </c>
      <c r="L222" s="83">
        <v>43</v>
      </c>
      <c r="M222" s="83">
        <v>68</v>
      </c>
      <c r="N222" s="83">
        <v>93</v>
      </c>
      <c r="O222" s="83">
        <v>89</v>
      </c>
      <c r="P222" s="83">
        <v>103</v>
      </c>
      <c r="Q222" s="83">
        <v>108</v>
      </c>
      <c r="R222" s="83">
        <v>111</v>
      </c>
      <c r="S222" s="83">
        <v>126</v>
      </c>
      <c r="T222" s="83">
        <v>142</v>
      </c>
      <c r="U222" s="83">
        <v>143</v>
      </c>
      <c r="V222" s="83">
        <v>139</v>
      </c>
      <c r="W222" s="83">
        <v>141</v>
      </c>
      <c r="X222" s="83">
        <v>142</v>
      </c>
      <c r="Y222" s="83">
        <v>149</v>
      </c>
      <c r="Z222" s="83">
        <v>138</v>
      </c>
      <c r="AA222" s="83">
        <v>149</v>
      </c>
      <c r="AB222" s="83">
        <v>149</v>
      </c>
      <c r="AC222" s="83">
        <v>142</v>
      </c>
      <c r="AD222" s="83">
        <v>127</v>
      </c>
      <c r="AE222" s="83">
        <v>146</v>
      </c>
      <c r="AF222" s="83">
        <v>142</v>
      </c>
      <c r="AG222" s="83">
        <v>133</v>
      </c>
      <c r="AH222" s="83">
        <v>129</v>
      </c>
      <c r="AI222" s="83">
        <v>122</v>
      </c>
      <c r="AJ222" s="83">
        <v>117</v>
      </c>
      <c r="AK222" s="83">
        <v>119</v>
      </c>
      <c r="AL222" s="83">
        <v>108</v>
      </c>
      <c r="AM222" s="83">
        <v>120</v>
      </c>
      <c r="AN222" s="83">
        <v>110</v>
      </c>
      <c r="AO222" s="83">
        <v>111</v>
      </c>
      <c r="AP222" s="83">
        <v>104</v>
      </c>
      <c r="AQ222" s="83">
        <v>113</v>
      </c>
      <c r="AR222" s="83">
        <v>108</v>
      </c>
      <c r="AS222" s="83">
        <v>100</v>
      </c>
      <c r="AT222" s="83">
        <v>97</v>
      </c>
      <c r="AU222" s="83">
        <v>93</v>
      </c>
      <c r="AV222" s="83">
        <v>91</v>
      </c>
      <c r="AW222" s="83">
        <v>91</v>
      </c>
    </row>
    <row r="223" spans="1:49" x14ac:dyDescent="0.15">
      <c r="A223" s="83">
        <v>20200527</v>
      </c>
      <c r="B223" s="83">
        <v>64</v>
      </c>
      <c r="C223" s="83">
        <v>49</v>
      </c>
      <c r="D223" s="83">
        <v>50</v>
      </c>
      <c r="E223" s="83">
        <v>46</v>
      </c>
      <c r="F223" s="83">
        <v>44</v>
      </c>
      <c r="G223" s="83">
        <v>51</v>
      </c>
      <c r="H223" s="83">
        <v>49</v>
      </c>
      <c r="I223" s="83">
        <v>48</v>
      </c>
      <c r="J223" s="83">
        <v>46</v>
      </c>
      <c r="K223" s="83">
        <v>44</v>
      </c>
      <c r="L223" s="83">
        <v>44</v>
      </c>
      <c r="M223" s="83">
        <v>66</v>
      </c>
      <c r="N223" s="83">
        <v>89</v>
      </c>
      <c r="O223" s="83">
        <v>86</v>
      </c>
      <c r="P223" s="83">
        <v>100</v>
      </c>
      <c r="Q223" s="83">
        <v>101</v>
      </c>
      <c r="R223" s="83">
        <v>110</v>
      </c>
      <c r="S223" s="83">
        <v>132</v>
      </c>
      <c r="T223" s="83">
        <v>137</v>
      </c>
      <c r="U223" s="83">
        <v>134</v>
      </c>
      <c r="V223" s="83">
        <v>133</v>
      </c>
      <c r="W223" s="83">
        <v>129</v>
      </c>
      <c r="X223" s="83">
        <v>140</v>
      </c>
      <c r="Y223" s="83">
        <v>133</v>
      </c>
      <c r="Z223" s="83">
        <v>127</v>
      </c>
      <c r="AA223" s="83">
        <v>135</v>
      </c>
      <c r="AB223" s="83">
        <v>131</v>
      </c>
      <c r="AC223" s="83">
        <v>130</v>
      </c>
      <c r="AD223" s="83">
        <v>118</v>
      </c>
      <c r="AE223" s="83">
        <v>131</v>
      </c>
      <c r="AF223" s="83">
        <v>120</v>
      </c>
      <c r="AG223" s="83">
        <v>112</v>
      </c>
      <c r="AH223" s="83">
        <v>105</v>
      </c>
      <c r="AI223" s="83">
        <v>99</v>
      </c>
      <c r="AJ223" s="83">
        <v>101</v>
      </c>
      <c r="AK223" s="83">
        <v>99</v>
      </c>
      <c r="AL223" s="83">
        <v>99</v>
      </c>
      <c r="AM223" s="83">
        <v>110</v>
      </c>
      <c r="AN223" s="83">
        <v>98</v>
      </c>
      <c r="AO223" s="83">
        <v>97</v>
      </c>
      <c r="AP223" s="83">
        <v>92</v>
      </c>
      <c r="AQ223" s="83">
        <v>100</v>
      </c>
      <c r="AR223" s="83">
        <v>97</v>
      </c>
      <c r="AS223" s="83">
        <v>92</v>
      </c>
      <c r="AT223" s="83">
        <v>90</v>
      </c>
      <c r="AU223" s="83">
        <v>87</v>
      </c>
      <c r="AV223" s="83">
        <v>85</v>
      </c>
      <c r="AW223" s="83">
        <v>85</v>
      </c>
    </row>
    <row r="224" spans="1:49" x14ac:dyDescent="0.15">
      <c r="A224" s="83">
        <v>20200528</v>
      </c>
      <c r="B224" s="83">
        <v>61</v>
      </c>
      <c r="C224" s="83">
        <v>45</v>
      </c>
      <c r="D224" s="83">
        <v>44</v>
      </c>
      <c r="E224" s="83">
        <v>42</v>
      </c>
      <c r="F224" s="83">
        <v>40</v>
      </c>
      <c r="G224" s="83">
        <v>45</v>
      </c>
      <c r="H224" s="83">
        <v>44</v>
      </c>
      <c r="I224" s="83">
        <v>43</v>
      </c>
      <c r="J224" s="83">
        <v>40</v>
      </c>
      <c r="K224" s="83">
        <v>39</v>
      </c>
      <c r="L224" s="83">
        <v>38</v>
      </c>
      <c r="M224" s="83">
        <v>49</v>
      </c>
      <c r="N224" s="83">
        <v>94</v>
      </c>
      <c r="O224" s="83">
        <v>85</v>
      </c>
      <c r="P224" s="83">
        <v>103</v>
      </c>
      <c r="Q224" s="83">
        <v>103</v>
      </c>
      <c r="R224" s="83">
        <v>100</v>
      </c>
      <c r="S224" s="83">
        <v>117</v>
      </c>
      <c r="T224" s="83">
        <v>134</v>
      </c>
      <c r="U224" s="83">
        <v>132</v>
      </c>
      <c r="V224" s="83">
        <v>127</v>
      </c>
      <c r="W224" s="83">
        <v>126</v>
      </c>
      <c r="X224" s="83">
        <v>127</v>
      </c>
      <c r="Y224" s="83">
        <v>129</v>
      </c>
      <c r="Z224" s="83">
        <v>127</v>
      </c>
      <c r="AA224" s="83">
        <v>135</v>
      </c>
      <c r="AB224" s="83">
        <v>125</v>
      </c>
      <c r="AC224" s="83">
        <v>129</v>
      </c>
      <c r="AD224" s="83">
        <v>119</v>
      </c>
      <c r="AE224" s="83">
        <v>135</v>
      </c>
      <c r="AF224" s="83">
        <v>127</v>
      </c>
      <c r="AG224" s="83">
        <v>120</v>
      </c>
      <c r="AH224" s="83">
        <v>122</v>
      </c>
      <c r="AI224" s="83">
        <v>117</v>
      </c>
      <c r="AJ224" s="83">
        <v>113</v>
      </c>
      <c r="AK224" s="83">
        <v>120</v>
      </c>
      <c r="AL224" s="83">
        <v>107</v>
      </c>
      <c r="AM224" s="83">
        <v>112</v>
      </c>
      <c r="AN224" s="83">
        <v>104</v>
      </c>
      <c r="AO224" s="83">
        <v>104</v>
      </c>
      <c r="AP224" s="83">
        <v>97</v>
      </c>
      <c r="AQ224" s="83">
        <v>104</v>
      </c>
      <c r="AR224" s="83">
        <v>100</v>
      </c>
      <c r="AS224" s="83">
        <v>95</v>
      </c>
      <c r="AT224" s="83">
        <v>90</v>
      </c>
      <c r="AU224" s="83">
        <v>88</v>
      </c>
      <c r="AV224" s="83">
        <v>89</v>
      </c>
      <c r="AW224" s="83">
        <v>85</v>
      </c>
    </row>
    <row r="225" spans="1:49" x14ac:dyDescent="0.15">
      <c r="A225" s="83">
        <v>20200529</v>
      </c>
      <c r="B225" s="83">
        <v>63</v>
      </c>
      <c r="C225" s="83">
        <v>44</v>
      </c>
      <c r="D225" s="83">
        <v>44</v>
      </c>
      <c r="E225" s="83">
        <v>41</v>
      </c>
      <c r="F225" s="83">
        <v>40</v>
      </c>
      <c r="G225" s="83">
        <v>44</v>
      </c>
      <c r="H225" s="83">
        <v>44</v>
      </c>
      <c r="I225" s="83">
        <v>42</v>
      </c>
      <c r="J225" s="83">
        <v>39</v>
      </c>
      <c r="K225" s="83">
        <v>39</v>
      </c>
      <c r="L225" s="83">
        <v>40</v>
      </c>
      <c r="M225" s="83">
        <v>58</v>
      </c>
      <c r="N225" s="83">
        <v>86</v>
      </c>
      <c r="O225" s="83">
        <v>80</v>
      </c>
      <c r="P225" s="83">
        <v>100</v>
      </c>
      <c r="Q225" s="83">
        <v>103</v>
      </c>
      <c r="R225" s="83">
        <v>106</v>
      </c>
      <c r="S225" s="83">
        <v>121</v>
      </c>
      <c r="T225" s="83">
        <v>133</v>
      </c>
      <c r="U225" s="83">
        <v>130</v>
      </c>
      <c r="V225" s="83">
        <v>124</v>
      </c>
      <c r="W225" s="83">
        <v>126</v>
      </c>
      <c r="X225" s="83">
        <v>127</v>
      </c>
      <c r="Y225" s="83">
        <v>130</v>
      </c>
      <c r="Z225" s="83">
        <v>126</v>
      </c>
      <c r="AA225" s="83">
        <v>132</v>
      </c>
      <c r="AB225" s="83">
        <v>128</v>
      </c>
      <c r="AC225" s="83">
        <v>132</v>
      </c>
      <c r="AD225" s="83">
        <v>122</v>
      </c>
      <c r="AE225" s="83">
        <v>137</v>
      </c>
      <c r="AF225" s="83">
        <v>129</v>
      </c>
      <c r="AG225" s="83">
        <v>129</v>
      </c>
      <c r="AH225" s="83">
        <v>120</v>
      </c>
      <c r="AI225" s="83">
        <v>120</v>
      </c>
      <c r="AJ225" s="83">
        <v>117</v>
      </c>
      <c r="AK225" s="83">
        <v>116</v>
      </c>
      <c r="AL225" s="83">
        <v>106</v>
      </c>
      <c r="AM225" s="83">
        <v>108</v>
      </c>
      <c r="AN225" s="83">
        <v>100</v>
      </c>
      <c r="AO225" s="83">
        <v>103</v>
      </c>
      <c r="AP225" s="83">
        <v>97</v>
      </c>
      <c r="AQ225" s="83">
        <v>104</v>
      </c>
      <c r="AR225" s="83">
        <v>100</v>
      </c>
      <c r="AS225" s="83">
        <v>95</v>
      </c>
      <c r="AT225" s="83">
        <v>90</v>
      </c>
      <c r="AU225" s="83">
        <v>89</v>
      </c>
      <c r="AV225" s="83">
        <v>86</v>
      </c>
      <c r="AW225" s="83">
        <v>84</v>
      </c>
    </row>
    <row r="226" spans="1:49" x14ac:dyDescent="0.15">
      <c r="A226" s="83">
        <v>20200530</v>
      </c>
      <c r="B226" s="83">
        <v>65</v>
      </c>
      <c r="C226" s="83">
        <v>45</v>
      </c>
      <c r="D226" s="83">
        <v>43</v>
      </c>
      <c r="E226" s="83">
        <v>41</v>
      </c>
      <c r="F226" s="83">
        <v>39</v>
      </c>
      <c r="G226" s="83">
        <v>44</v>
      </c>
      <c r="H226" s="83">
        <v>43</v>
      </c>
      <c r="I226" s="83">
        <v>41</v>
      </c>
      <c r="J226" s="83">
        <v>40</v>
      </c>
      <c r="K226" s="83">
        <v>40</v>
      </c>
      <c r="L226" s="83">
        <v>40</v>
      </c>
      <c r="M226" s="83">
        <v>67</v>
      </c>
      <c r="N226" s="83">
        <v>85</v>
      </c>
      <c r="O226" s="83">
        <v>83</v>
      </c>
      <c r="P226" s="83">
        <v>105</v>
      </c>
      <c r="Q226" s="83">
        <v>108</v>
      </c>
      <c r="R226" s="83">
        <v>110</v>
      </c>
      <c r="S226" s="83">
        <v>128</v>
      </c>
      <c r="T226" s="83">
        <v>132</v>
      </c>
      <c r="U226" s="83">
        <v>131</v>
      </c>
      <c r="V226" s="83">
        <v>127</v>
      </c>
      <c r="W226" s="83">
        <v>136</v>
      </c>
      <c r="X226" s="83">
        <v>136</v>
      </c>
      <c r="Y226" s="83">
        <v>138</v>
      </c>
      <c r="Z226" s="83">
        <v>133</v>
      </c>
      <c r="AA226" s="83">
        <v>135</v>
      </c>
      <c r="AB226" s="83">
        <v>132</v>
      </c>
      <c r="AC226" s="83">
        <v>133</v>
      </c>
      <c r="AD226" s="83">
        <v>131</v>
      </c>
      <c r="AE226" s="83">
        <v>139</v>
      </c>
      <c r="AF226" s="83">
        <v>132</v>
      </c>
      <c r="AG226" s="83">
        <v>134</v>
      </c>
      <c r="AH226" s="83">
        <v>127</v>
      </c>
      <c r="AI226" s="83">
        <v>117</v>
      </c>
      <c r="AJ226" s="83">
        <v>116</v>
      </c>
      <c r="AK226" s="83">
        <v>116</v>
      </c>
      <c r="AL226" s="83">
        <v>102</v>
      </c>
      <c r="AM226" s="83">
        <v>113</v>
      </c>
      <c r="AN226" s="83">
        <v>105</v>
      </c>
      <c r="AO226" s="83">
        <v>114</v>
      </c>
      <c r="AP226" s="83">
        <v>101</v>
      </c>
      <c r="AQ226" s="83">
        <v>107</v>
      </c>
      <c r="AR226" s="83">
        <v>102</v>
      </c>
      <c r="AS226" s="83">
        <v>94</v>
      </c>
      <c r="AT226" s="83">
        <v>91</v>
      </c>
      <c r="AU226" s="83">
        <v>90</v>
      </c>
      <c r="AV226" s="83">
        <v>87</v>
      </c>
      <c r="AW226" s="83">
        <v>85</v>
      </c>
    </row>
    <row r="227" spans="1:49" x14ac:dyDescent="0.15">
      <c r="A227" s="83">
        <v>20200531</v>
      </c>
      <c r="B227" s="83">
        <v>62</v>
      </c>
      <c r="C227" s="83">
        <v>45</v>
      </c>
      <c r="D227" s="83">
        <v>45</v>
      </c>
      <c r="E227" s="83">
        <v>42</v>
      </c>
      <c r="F227" s="83">
        <v>42</v>
      </c>
      <c r="G227" s="83">
        <v>46</v>
      </c>
      <c r="H227" s="83">
        <v>45</v>
      </c>
      <c r="I227" s="83">
        <v>42</v>
      </c>
      <c r="J227" s="83">
        <v>41</v>
      </c>
      <c r="K227" s="83">
        <v>41</v>
      </c>
      <c r="L227" s="83">
        <v>75</v>
      </c>
      <c r="M227" s="83">
        <v>68</v>
      </c>
      <c r="N227" s="83">
        <v>77</v>
      </c>
      <c r="O227" s="83">
        <v>87</v>
      </c>
      <c r="P227" s="83">
        <v>103</v>
      </c>
      <c r="Q227" s="83">
        <v>113</v>
      </c>
      <c r="R227" s="83">
        <v>112</v>
      </c>
      <c r="S227" s="83">
        <v>132</v>
      </c>
      <c r="T227" s="83">
        <v>134</v>
      </c>
      <c r="U227" s="83">
        <v>137</v>
      </c>
      <c r="V227" s="83">
        <v>138</v>
      </c>
      <c r="W227" s="83">
        <v>137</v>
      </c>
      <c r="X227" s="83">
        <v>147</v>
      </c>
      <c r="Y227" s="83">
        <v>150</v>
      </c>
      <c r="Z227" s="83">
        <v>144</v>
      </c>
      <c r="AA227" s="83">
        <v>145</v>
      </c>
      <c r="AB227" s="83">
        <v>140</v>
      </c>
      <c r="AC227" s="83">
        <v>144</v>
      </c>
      <c r="AD227" s="83">
        <v>138</v>
      </c>
      <c r="AE227" s="83">
        <v>147</v>
      </c>
      <c r="AF227" s="83">
        <v>149</v>
      </c>
      <c r="AG227" s="83">
        <v>137</v>
      </c>
      <c r="AH227" s="83">
        <v>138</v>
      </c>
      <c r="AI227" s="83">
        <v>133</v>
      </c>
      <c r="AJ227" s="83">
        <v>125</v>
      </c>
      <c r="AK227" s="83">
        <v>126</v>
      </c>
      <c r="AL227" s="83">
        <v>113</v>
      </c>
      <c r="AM227" s="83">
        <v>121</v>
      </c>
      <c r="AN227" s="83">
        <v>110</v>
      </c>
      <c r="AO227" s="83">
        <v>117</v>
      </c>
      <c r="AP227" s="83">
        <v>110</v>
      </c>
      <c r="AQ227" s="83">
        <v>116</v>
      </c>
      <c r="AR227" s="83">
        <v>110</v>
      </c>
      <c r="AS227" s="83">
        <v>104</v>
      </c>
      <c r="AT227" s="83">
        <v>98</v>
      </c>
      <c r="AU227" s="83">
        <v>95</v>
      </c>
      <c r="AV227" s="83">
        <v>93</v>
      </c>
      <c r="AW227" s="83">
        <v>93</v>
      </c>
    </row>
    <row r="228" spans="1:49" x14ac:dyDescent="0.15">
      <c r="A228" s="72"/>
      <c r="B228" s="65">
        <f>AVERAGE(B197:B227)</f>
        <v>65.032258064516128</v>
      </c>
      <c r="C228" s="65">
        <f t="shared" ref="C228:AW228" si="8">AVERAGE(C197:C227)</f>
        <v>48.096774193548384</v>
      </c>
      <c r="D228" s="65">
        <f t="shared" si="8"/>
        <v>47.903225806451616</v>
      </c>
      <c r="E228" s="65">
        <f t="shared" si="8"/>
        <v>45.096774193548384</v>
      </c>
      <c r="F228" s="65">
        <f t="shared" si="8"/>
        <v>44.12903225806452</v>
      </c>
      <c r="G228" s="65">
        <f t="shared" si="8"/>
        <v>49.225806451612904</v>
      </c>
      <c r="H228" s="65">
        <f t="shared" si="8"/>
        <v>48.096774193548384</v>
      </c>
      <c r="I228" s="65">
        <f t="shared" si="8"/>
        <v>46.258064516129032</v>
      </c>
      <c r="J228" s="65">
        <f t="shared" si="8"/>
        <v>43.741935483870968</v>
      </c>
      <c r="K228" s="65">
        <f t="shared" si="8"/>
        <v>42.548387096774192</v>
      </c>
      <c r="L228" s="65">
        <f t="shared" si="8"/>
        <v>44.322580645161288</v>
      </c>
      <c r="M228" s="65">
        <f t="shared" si="8"/>
        <v>62.41935483870968</v>
      </c>
      <c r="N228" s="65">
        <f t="shared" si="8"/>
        <v>91.41935483870968</v>
      </c>
      <c r="O228" s="65">
        <f t="shared" si="8"/>
        <v>86.483870967741936</v>
      </c>
      <c r="P228" s="65">
        <f t="shared" si="8"/>
        <v>101.87096774193549</v>
      </c>
      <c r="Q228" s="65">
        <f t="shared" si="8"/>
        <v>104.6774193548387</v>
      </c>
      <c r="R228" s="65">
        <f t="shared" si="8"/>
        <v>108</v>
      </c>
      <c r="S228" s="65">
        <f t="shared" si="8"/>
        <v>123.03225806451613</v>
      </c>
      <c r="T228" s="65">
        <f t="shared" si="8"/>
        <v>128.96774193548387</v>
      </c>
      <c r="U228" s="65">
        <f t="shared" si="8"/>
        <v>127.45161290322581</v>
      </c>
      <c r="V228" s="65">
        <f t="shared" si="8"/>
        <v>124.3225806451613</v>
      </c>
      <c r="W228" s="65">
        <f t="shared" si="8"/>
        <v>124.80645161290323</v>
      </c>
      <c r="X228" s="65">
        <f t="shared" si="8"/>
        <v>127.25806451612904</v>
      </c>
      <c r="Y228" s="65">
        <f t="shared" si="8"/>
        <v>129.32258064516128</v>
      </c>
      <c r="Z228" s="65">
        <f t="shared" si="8"/>
        <v>125.38709677419355</v>
      </c>
      <c r="AA228" s="65">
        <f t="shared" si="8"/>
        <v>131.96774193548387</v>
      </c>
      <c r="AB228" s="65">
        <f t="shared" si="8"/>
        <v>127.83870967741936</v>
      </c>
      <c r="AC228" s="65">
        <f t="shared" si="8"/>
        <v>128.87096774193549</v>
      </c>
      <c r="AD228" s="65">
        <f t="shared" si="8"/>
        <v>119.2258064516129</v>
      </c>
      <c r="AE228" s="65">
        <f t="shared" si="8"/>
        <v>132.06451612903226</v>
      </c>
      <c r="AF228" s="65">
        <f t="shared" si="8"/>
        <v>128.41935483870967</v>
      </c>
      <c r="AG228" s="65">
        <f t="shared" si="8"/>
        <v>123.06451612903226</v>
      </c>
      <c r="AH228" s="65">
        <f t="shared" si="8"/>
        <v>118.58064516129032</v>
      </c>
      <c r="AI228" s="65">
        <f t="shared" si="8"/>
        <v>114.83870967741936</v>
      </c>
      <c r="AJ228" s="65">
        <f t="shared" si="8"/>
        <v>111.35483870967742</v>
      </c>
      <c r="AK228" s="65">
        <f t="shared" si="8"/>
        <v>110.03225806451613</v>
      </c>
      <c r="AL228" s="65">
        <f t="shared" si="8"/>
        <v>102.12903225806451</v>
      </c>
      <c r="AM228" s="65">
        <f t="shared" si="8"/>
        <v>109.96774193548387</v>
      </c>
      <c r="AN228" s="65">
        <f t="shared" si="8"/>
        <v>102.41935483870968</v>
      </c>
      <c r="AO228" s="65">
        <f t="shared" si="8"/>
        <v>102.93548387096774</v>
      </c>
      <c r="AP228" s="65">
        <f t="shared" si="8"/>
        <v>97.032258064516128</v>
      </c>
      <c r="AQ228" s="65">
        <f t="shared" si="8"/>
        <v>104.35483870967742</v>
      </c>
      <c r="AR228" s="65">
        <f t="shared" si="8"/>
        <v>101</v>
      </c>
      <c r="AS228" s="65">
        <f t="shared" si="8"/>
        <v>95.677419354838705</v>
      </c>
      <c r="AT228" s="65">
        <f t="shared" si="8"/>
        <v>92.064516129032256</v>
      </c>
      <c r="AU228" s="65">
        <f t="shared" si="8"/>
        <v>89.354838709677423</v>
      </c>
      <c r="AV228" s="65">
        <f t="shared" si="8"/>
        <v>87.225806451612897</v>
      </c>
      <c r="AW228" s="65">
        <f t="shared" si="8"/>
        <v>85.870967741935488</v>
      </c>
    </row>
    <row r="229" spans="1:49" x14ac:dyDescent="0.15">
      <c r="A229" s="72"/>
      <c r="B229" s="173">
        <f>AVERAGE(B197:C228)</f>
        <v>56.564516129032256</v>
      </c>
      <c r="C229" s="173"/>
      <c r="D229" s="173">
        <f>AVERAGE(D197:E228)</f>
        <v>46.5</v>
      </c>
      <c r="E229" s="173"/>
      <c r="F229" s="173">
        <f>AVERAGE(F197:G228)</f>
        <v>46.677419354838705</v>
      </c>
      <c r="G229" s="173"/>
      <c r="H229" s="173">
        <f>AVERAGE(H197:I228)</f>
        <v>47.177419354838712</v>
      </c>
      <c r="I229" s="173"/>
      <c r="J229" s="173">
        <f>AVERAGE(J197:K228)</f>
        <v>43.145161290322577</v>
      </c>
      <c r="K229" s="173"/>
      <c r="L229" s="173">
        <f>AVERAGE(L197:M228)</f>
        <v>53.370967741935488</v>
      </c>
      <c r="M229" s="173"/>
      <c r="N229" s="173">
        <f>AVERAGE(N197:O228)</f>
        <v>88.951612903225794</v>
      </c>
      <c r="O229" s="173"/>
      <c r="P229" s="173">
        <f>AVERAGE(P197:Q228)</f>
        <v>103.2741935483871</v>
      </c>
      <c r="Q229" s="173"/>
      <c r="R229" s="173">
        <f>AVERAGE(R197:S228)</f>
        <v>115.51612903225806</v>
      </c>
      <c r="S229" s="173"/>
      <c r="T229" s="173">
        <f>AVERAGE(T197:U228)</f>
        <v>128.20967741935485</v>
      </c>
      <c r="U229" s="173"/>
      <c r="V229" s="173">
        <f>AVERAGE(V197:W228)</f>
        <v>124.56451612903226</v>
      </c>
      <c r="W229" s="173"/>
      <c r="X229" s="173">
        <f>AVERAGE(X197:Y228)</f>
        <v>128.29032258064515</v>
      </c>
      <c r="Y229" s="173"/>
      <c r="Z229" s="173">
        <f>AVERAGE(Z197:AA228)</f>
        <v>128.67741935483869</v>
      </c>
      <c r="AA229" s="173"/>
      <c r="AB229" s="173">
        <f>AVERAGE(AB197:AC228)</f>
        <v>128.35483870967741</v>
      </c>
      <c r="AC229" s="173"/>
      <c r="AD229" s="173">
        <f>AVERAGE(AD197:AE228)</f>
        <v>125.64516129032258</v>
      </c>
      <c r="AE229" s="173"/>
      <c r="AF229" s="173">
        <f>AVERAGE(AF197:AG228)</f>
        <v>125.74193548387096</v>
      </c>
      <c r="AG229" s="173"/>
      <c r="AH229" s="173">
        <f>AVERAGE(AH197:AI228)</f>
        <v>116.70967741935485</v>
      </c>
      <c r="AI229" s="173"/>
      <c r="AJ229" s="173">
        <f>AVERAGE(AJ197:AK228)</f>
        <v>110.69354838709677</v>
      </c>
      <c r="AK229" s="173"/>
      <c r="AL229" s="173">
        <f>AVERAGE(AL197:AM228)</f>
        <v>106.04838709677419</v>
      </c>
      <c r="AM229" s="173"/>
      <c r="AN229" s="173">
        <f>AVERAGE(AN197:AO228)</f>
        <v>102.6774193548387</v>
      </c>
      <c r="AO229" s="173"/>
      <c r="AP229" s="173">
        <f>AVERAGE(AP197:AQ228)</f>
        <v>100.69354838709677</v>
      </c>
      <c r="AQ229" s="173"/>
      <c r="AR229" s="173">
        <f>AVERAGE(AR197:AS228)</f>
        <v>98.338709677419359</v>
      </c>
      <c r="AS229" s="173"/>
      <c r="AT229" s="173">
        <f>AVERAGE(AT197:AU228)</f>
        <v>90.709677419354833</v>
      </c>
      <c r="AU229" s="173"/>
      <c r="AV229" s="173">
        <f>AVERAGE(AV197:AW228)</f>
        <v>86.548387096774192</v>
      </c>
      <c r="AW229" s="173"/>
    </row>
    <row r="230" spans="1:49" x14ac:dyDescent="0.15">
      <c r="A230" s="83">
        <v>20200601</v>
      </c>
      <c r="B230" s="83">
        <v>69</v>
      </c>
      <c r="C230" s="83">
        <v>51</v>
      </c>
      <c r="D230" s="83">
        <v>51</v>
      </c>
      <c r="E230" s="83">
        <v>48</v>
      </c>
      <c r="F230" s="83">
        <v>46</v>
      </c>
      <c r="G230" s="83">
        <v>53</v>
      </c>
      <c r="H230" s="83">
        <v>50</v>
      </c>
      <c r="I230" s="83">
        <v>49</v>
      </c>
      <c r="J230" s="83">
        <v>46</v>
      </c>
      <c r="K230" s="83">
        <v>47</v>
      </c>
      <c r="L230" s="83">
        <v>46</v>
      </c>
      <c r="M230" s="83">
        <v>62</v>
      </c>
      <c r="N230" s="83">
        <v>100</v>
      </c>
      <c r="O230" s="83">
        <v>89</v>
      </c>
      <c r="P230" s="83">
        <v>107</v>
      </c>
      <c r="Q230" s="83">
        <v>108</v>
      </c>
      <c r="R230" s="83">
        <v>108</v>
      </c>
      <c r="S230" s="83">
        <v>125</v>
      </c>
      <c r="T230" s="83">
        <v>129</v>
      </c>
      <c r="U230" s="83">
        <v>127</v>
      </c>
      <c r="V230" s="83">
        <v>122</v>
      </c>
      <c r="W230" s="83">
        <v>125</v>
      </c>
      <c r="X230" s="83">
        <v>121</v>
      </c>
      <c r="Y230" s="83">
        <v>124</v>
      </c>
      <c r="Z230" s="83">
        <v>123</v>
      </c>
      <c r="AA230" s="83">
        <v>130</v>
      </c>
      <c r="AB230" s="83">
        <v>125</v>
      </c>
      <c r="AC230" s="83">
        <v>124</v>
      </c>
      <c r="AD230" s="83">
        <v>118</v>
      </c>
      <c r="AE230" s="83">
        <v>135</v>
      </c>
      <c r="AF230" s="83">
        <v>132</v>
      </c>
      <c r="AG230" s="83">
        <v>129</v>
      </c>
      <c r="AH230" s="83">
        <v>126</v>
      </c>
      <c r="AI230" s="83">
        <v>126</v>
      </c>
      <c r="AJ230" s="83">
        <v>123</v>
      </c>
      <c r="AK230" s="83">
        <v>122</v>
      </c>
      <c r="AL230" s="83">
        <v>110</v>
      </c>
      <c r="AM230" s="83">
        <v>124</v>
      </c>
      <c r="AN230" s="83">
        <v>114</v>
      </c>
      <c r="AO230" s="83">
        <v>113</v>
      </c>
      <c r="AP230" s="83">
        <v>107</v>
      </c>
      <c r="AQ230" s="83">
        <v>115</v>
      </c>
      <c r="AR230" s="83">
        <v>108</v>
      </c>
      <c r="AS230" s="83">
        <v>106</v>
      </c>
      <c r="AT230" s="83">
        <v>102</v>
      </c>
      <c r="AU230" s="83">
        <v>97</v>
      </c>
      <c r="AV230" s="83">
        <v>97</v>
      </c>
      <c r="AW230" s="83">
        <v>94</v>
      </c>
    </row>
    <row r="231" spans="1:49" x14ac:dyDescent="0.15">
      <c r="A231" s="83">
        <v>20200602</v>
      </c>
      <c r="B231" s="83">
        <v>68</v>
      </c>
      <c r="C231" s="83">
        <v>53</v>
      </c>
      <c r="D231" s="83">
        <v>52</v>
      </c>
      <c r="E231" s="83">
        <v>49</v>
      </c>
      <c r="F231" s="83">
        <v>46</v>
      </c>
      <c r="G231" s="83">
        <v>53</v>
      </c>
      <c r="H231" s="83">
        <v>52</v>
      </c>
      <c r="I231" s="83">
        <v>49</v>
      </c>
      <c r="J231" s="83">
        <v>48</v>
      </c>
      <c r="K231" s="83">
        <v>45</v>
      </c>
      <c r="L231" s="83">
        <v>48</v>
      </c>
      <c r="M231" s="83">
        <v>61</v>
      </c>
      <c r="N231" s="83">
        <v>96</v>
      </c>
      <c r="O231" s="83">
        <v>90</v>
      </c>
      <c r="P231" s="83">
        <v>101</v>
      </c>
      <c r="Q231" s="83">
        <v>109</v>
      </c>
      <c r="R231" s="83">
        <v>118</v>
      </c>
      <c r="S231" s="83">
        <v>134</v>
      </c>
      <c r="T231" s="83">
        <v>145</v>
      </c>
      <c r="U231" s="83">
        <v>139</v>
      </c>
      <c r="V231" s="83">
        <v>139</v>
      </c>
      <c r="W231" s="83">
        <v>137</v>
      </c>
      <c r="X231" s="83">
        <v>139</v>
      </c>
      <c r="Y231" s="83">
        <v>145</v>
      </c>
      <c r="Z231" s="83">
        <v>141</v>
      </c>
      <c r="AA231" s="83">
        <v>145</v>
      </c>
      <c r="AB231" s="83">
        <v>142</v>
      </c>
      <c r="AC231" s="83">
        <v>143</v>
      </c>
      <c r="AD231" s="83">
        <v>131</v>
      </c>
      <c r="AE231" s="83">
        <v>143</v>
      </c>
      <c r="AF231" s="83">
        <v>142</v>
      </c>
      <c r="AG231" s="83">
        <v>135</v>
      </c>
      <c r="AH231" s="83">
        <v>129</v>
      </c>
      <c r="AI231" s="83">
        <v>121</v>
      </c>
      <c r="AJ231" s="83">
        <v>125</v>
      </c>
      <c r="AK231" s="83">
        <v>125</v>
      </c>
      <c r="AL231" s="83">
        <v>104</v>
      </c>
      <c r="AM231" s="83">
        <v>120</v>
      </c>
      <c r="AN231" s="83">
        <v>108</v>
      </c>
      <c r="AO231" s="83">
        <v>108</v>
      </c>
      <c r="AP231" s="83">
        <v>103</v>
      </c>
      <c r="AQ231" s="83">
        <v>111</v>
      </c>
      <c r="AR231" s="83">
        <v>110</v>
      </c>
      <c r="AS231" s="83">
        <v>102</v>
      </c>
      <c r="AT231" s="83">
        <v>98</v>
      </c>
      <c r="AU231" s="83">
        <v>97</v>
      </c>
      <c r="AV231" s="83">
        <v>95</v>
      </c>
      <c r="AW231" s="83">
        <v>93</v>
      </c>
    </row>
    <row r="232" spans="1:49" x14ac:dyDescent="0.15">
      <c r="A232" s="83">
        <v>20200603</v>
      </c>
      <c r="B232" s="83">
        <v>71</v>
      </c>
      <c r="C232" s="83">
        <v>51</v>
      </c>
      <c r="D232" s="83">
        <v>51</v>
      </c>
      <c r="E232" s="83">
        <v>47</v>
      </c>
      <c r="F232" s="83">
        <v>45</v>
      </c>
      <c r="G232" s="83">
        <v>51</v>
      </c>
      <c r="H232" s="83">
        <v>49</v>
      </c>
      <c r="I232" s="83">
        <v>48</v>
      </c>
      <c r="J232" s="83">
        <v>45</v>
      </c>
      <c r="K232" s="83">
        <v>44</v>
      </c>
      <c r="L232" s="83">
        <v>45</v>
      </c>
      <c r="M232" s="83">
        <v>76</v>
      </c>
      <c r="N232" s="83">
        <v>89</v>
      </c>
      <c r="O232" s="83">
        <v>88</v>
      </c>
      <c r="P232" s="83">
        <v>102</v>
      </c>
      <c r="Q232" s="83">
        <v>112</v>
      </c>
      <c r="R232" s="83">
        <v>120</v>
      </c>
      <c r="S232" s="83">
        <v>137</v>
      </c>
      <c r="T232" s="83">
        <v>141</v>
      </c>
      <c r="U232" s="83">
        <v>147</v>
      </c>
      <c r="V232" s="83">
        <v>141</v>
      </c>
      <c r="W232" s="83">
        <v>141</v>
      </c>
      <c r="X232" s="83">
        <v>142</v>
      </c>
      <c r="Y232" s="83">
        <v>146</v>
      </c>
      <c r="Z232" s="83">
        <v>142</v>
      </c>
      <c r="AA232" s="83">
        <v>146</v>
      </c>
      <c r="AB232" s="83">
        <v>149</v>
      </c>
      <c r="AC232" s="83">
        <v>142</v>
      </c>
      <c r="AD232" s="83">
        <v>134</v>
      </c>
      <c r="AE232" s="83">
        <v>143</v>
      </c>
      <c r="AF232" s="83">
        <v>143</v>
      </c>
      <c r="AG232" s="83">
        <v>140</v>
      </c>
      <c r="AH232" s="83">
        <v>139</v>
      </c>
      <c r="AI232" s="83">
        <v>131</v>
      </c>
      <c r="AJ232" s="83">
        <v>132</v>
      </c>
      <c r="AK232" s="83">
        <v>124</v>
      </c>
      <c r="AL232" s="83">
        <v>111</v>
      </c>
      <c r="AM232" s="83">
        <v>122</v>
      </c>
      <c r="AN232" s="83">
        <v>112</v>
      </c>
      <c r="AO232" s="83">
        <v>110</v>
      </c>
      <c r="AP232" s="83">
        <v>107</v>
      </c>
      <c r="AQ232" s="83">
        <v>113</v>
      </c>
      <c r="AR232" s="83">
        <v>104</v>
      </c>
      <c r="AS232" s="83">
        <v>101</v>
      </c>
      <c r="AT232" s="83">
        <v>98</v>
      </c>
      <c r="AU232" s="83">
        <v>94</v>
      </c>
      <c r="AV232" s="83">
        <v>93</v>
      </c>
      <c r="AW232" s="83">
        <v>91</v>
      </c>
    </row>
    <row r="233" spans="1:49" x14ac:dyDescent="0.15">
      <c r="A233" s="83">
        <v>20200604</v>
      </c>
      <c r="B233" s="83">
        <v>70</v>
      </c>
      <c r="C233" s="83">
        <v>48</v>
      </c>
      <c r="D233" s="83">
        <v>50</v>
      </c>
      <c r="E233" s="83">
        <v>46</v>
      </c>
      <c r="F233" s="83">
        <v>45</v>
      </c>
      <c r="G233" s="83">
        <v>50</v>
      </c>
      <c r="H233" s="83">
        <v>49</v>
      </c>
      <c r="I233" s="83">
        <v>47</v>
      </c>
      <c r="J233" s="83">
        <v>44</v>
      </c>
      <c r="K233" s="83">
        <v>42</v>
      </c>
      <c r="L233" s="83">
        <v>44</v>
      </c>
      <c r="M233" s="83">
        <v>71</v>
      </c>
      <c r="N233" s="83">
        <v>89</v>
      </c>
      <c r="O233" s="83">
        <v>89</v>
      </c>
      <c r="P233" s="83">
        <v>109</v>
      </c>
      <c r="Q233" s="83">
        <v>117</v>
      </c>
      <c r="R233" s="83">
        <v>120</v>
      </c>
      <c r="S233" s="83">
        <v>139</v>
      </c>
      <c r="T233" s="83">
        <v>147</v>
      </c>
      <c r="U233" s="83">
        <v>145</v>
      </c>
      <c r="V233" s="83">
        <v>148</v>
      </c>
      <c r="W233" s="83">
        <v>153</v>
      </c>
      <c r="X233" s="83">
        <v>157</v>
      </c>
      <c r="Y233" s="83">
        <v>163</v>
      </c>
      <c r="Z233" s="83">
        <v>151</v>
      </c>
      <c r="AA233" s="83">
        <v>164</v>
      </c>
      <c r="AB233" s="83">
        <v>160</v>
      </c>
      <c r="AC233" s="83">
        <v>161</v>
      </c>
      <c r="AD233" s="83">
        <v>151</v>
      </c>
      <c r="AE233" s="83">
        <v>170</v>
      </c>
      <c r="AF233" s="83">
        <v>165</v>
      </c>
      <c r="AG233" s="83">
        <v>153</v>
      </c>
      <c r="AH233" s="83">
        <v>148</v>
      </c>
      <c r="AI233" s="83">
        <v>147</v>
      </c>
      <c r="AJ233" s="83">
        <v>143</v>
      </c>
      <c r="AK233" s="83">
        <v>138</v>
      </c>
      <c r="AL233" s="83">
        <v>119</v>
      </c>
      <c r="AM233" s="83">
        <v>130</v>
      </c>
      <c r="AN233" s="83">
        <v>128</v>
      </c>
      <c r="AO233" s="83">
        <v>128</v>
      </c>
      <c r="AP233" s="83">
        <v>114</v>
      </c>
      <c r="AQ233" s="83">
        <v>125</v>
      </c>
      <c r="AR233" s="83">
        <v>121</v>
      </c>
      <c r="AS233" s="83">
        <v>109</v>
      </c>
      <c r="AT233" s="83">
        <v>103</v>
      </c>
      <c r="AU233" s="83">
        <v>104</v>
      </c>
      <c r="AV233" s="83">
        <v>102</v>
      </c>
      <c r="AW233" s="83">
        <v>98</v>
      </c>
    </row>
    <row r="234" spans="1:49" x14ac:dyDescent="0.15">
      <c r="A234" s="83">
        <v>20200605</v>
      </c>
      <c r="B234" s="83">
        <v>71</v>
      </c>
      <c r="C234" s="83">
        <v>52</v>
      </c>
      <c r="D234" s="83">
        <v>53</v>
      </c>
      <c r="E234" s="83">
        <v>50</v>
      </c>
      <c r="F234" s="83">
        <v>47</v>
      </c>
      <c r="G234" s="83">
        <v>53</v>
      </c>
      <c r="H234" s="83">
        <v>54</v>
      </c>
      <c r="I234" s="83">
        <v>49</v>
      </c>
      <c r="J234" s="83">
        <v>48</v>
      </c>
      <c r="K234" s="83">
        <v>47</v>
      </c>
      <c r="L234" s="83">
        <v>47</v>
      </c>
      <c r="M234" s="83">
        <v>61</v>
      </c>
      <c r="N234" s="83">
        <v>101</v>
      </c>
      <c r="O234" s="83">
        <v>93</v>
      </c>
      <c r="P234" s="83">
        <v>111</v>
      </c>
      <c r="Q234" s="83">
        <v>116</v>
      </c>
      <c r="R234" s="83">
        <v>125</v>
      </c>
      <c r="S234" s="83">
        <v>145</v>
      </c>
      <c r="T234" s="83">
        <v>156</v>
      </c>
      <c r="U234" s="83">
        <v>150</v>
      </c>
      <c r="V234" s="83">
        <v>148</v>
      </c>
      <c r="W234" s="83">
        <v>150</v>
      </c>
      <c r="X234" s="83">
        <v>152</v>
      </c>
      <c r="Y234" s="83">
        <v>149</v>
      </c>
      <c r="Z234" s="83">
        <v>145</v>
      </c>
      <c r="AA234" s="83">
        <v>156</v>
      </c>
      <c r="AB234" s="83">
        <v>151</v>
      </c>
      <c r="AC234" s="83">
        <v>156</v>
      </c>
      <c r="AD234" s="83">
        <v>137</v>
      </c>
      <c r="AE234" s="83">
        <v>149</v>
      </c>
      <c r="AF234" s="83">
        <v>149</v>
      </c>
      <c r="AG234" s="83">
        <v>140</v>
      </c>
      <c r="AH234" s="83">
        <v>136</v>
      </c>
      <c r="AI234" s="83">
        <v>131</v>
      </c>
      <c r="AJ234" s="83">
        <v>126</v>
      </c>
      <c r="AK234" s="83">
        <v>122</v>
      </c>
      <c r="AL234" s="83">
        <v>116</v>
      </c>
      <c r="AM234" s="83">
        <v>125</v>
      </c>
      <c r="AN234" s="83">
        <v>120</v>
      </c>
      <c r="AO234" s="83">
        <v>120</v>
      </c>
      <c r="AP234" s="83">
        <v>109</v>
      </c>
      <c r="AQ234" s="83">
        <v>120</v>
      </c>
      <c r="AR234" s="83">
        <v>117</v>
      </c>
      <c r="AS234" s="83">
        <v>112</v>
      </c>
      <c r="AT234" s="83">
        <v>104</v>
      </c>
      <c r="AU234" s="83">
        <v>101</v>
      </c>
      <c r="AV234" s="83">
        <v>101</v>
      </c>
      <c r="AW234" s="83">
        <v>98</v>
      </c>
    </row>
    <row r="235" spans="1:49" x14ac:dyDescent="0.15">
      <c r="A235" s="83">
        <v>20200606</v>
      </c>
      <c r="B235" s="83">
        <v>77</v>
      </c>
      <c r="C235" s="83">
        <v>54</v>
      </c>
      <c r="D235" s="83">
        <v>54</v>
      </c>
      <c r="E235" s="83">
        <v>52</v>
      </c>
      <c r="F235" s="83">
        <v>50</v>
      </c>
      <c r="G235" s="83">
        <v>55</v>
      </c>
      <c r="H235" s="83">
        <v>53</v>
      </c>
      <c r="I235" s="83">
        <v>52</v>
      </c>
      <c r="J235" s="83">
        <v>49</v>
      </c>
      <c r="K235" s="83">
        <v>49</v>
      </c>
      <c r="L235" s="83">
        <v>51</v>
      </c>
      <c r="M235" s="83">
        <v>64</v>
      </c>
      <c r="N235" s="83">
        <v>101</v>
      </c>
      <c r="O235" s="83">
        <v>93</v>
      </c>
      <c r="P235" s="83">
        <v>112</v>
      </c>
      <c r="Q235" s="83">
        <v>113</v>
      </c>
      <c r="R235" s="83">
        <v>112</v>
      </c>
      <c r="S235" s="83">
        <v>128</v>
      </c>
      <c r="T235" s="83">
        <v>138</v>
      </c>
      <c r="U235" s="83">
        <v>134</v>
      </c>
      <c r="V235" s="83">
        <v>126</v>
      </c>
      <c r="W235" s="83">
        <v>130</v>
      </c>
      <c r="X235" s="83">
        <v>134</v>
      </c>
      <c r="Y235" s="83">
        <v>138</v>
      </c>
      <c r="Z235" s="83">
        <v>134</v>
      </c>
      <c r="AA235" s="83">
        <v>138</v>
      </c>
      <c r="AB235" s="83">
        <v>139</v>
      </c>
      <c r="AC235" s="83">
        <v>137</v>
      </c>
      <c r="AD235" s="83">
        <v>130</v>
      </c>
      <c r="AE235" s="83">
        <v>142</v>
      </c>
      <c r="AF235" s="83">
        <v>142</v>
      </c>
      <c r="AG235" s="83">
        <v>135</v>
      </c>
      <c r="AH235" s="83">
        <v>130</v>
      </c>
      <c r="AI235" s="83">
        <v>129</v>
      </c>
      <c r="AJ235" s="83">
        <v>127</v>
      </c>
      <c r="AK235" s="83">
        <v>123</v>
      </c>
      <c r="AL235" s="83">
        <v>109</v>
      </c>
      <c r="AM235" s="83">
        <v>117</v>
      </c>
      <c r="AN235" s="83">
        <v>114</v>
      </c>
      <c r="AO235" s="83">
        <v>118</v>
      </c>
      <c r="AP235" s="83">
        <v>108</v>
      </c>
      <c r="AQ235" s="83">
        <v>117</v>
      </c>
      <c r="AR235" s="83">
        <v>109</v>
      </c>
      <c r="AS235" s="83">
        <v>100</v>
      </c>
      <c r="AT235" s="83">
        <v>97</v>
      </c>
      <c r="AU235" s="83">
        <v>93</v>
      </c>
      <c r="AV235" s="83">
        <v>91</v>
      </c>
      <c r="AW235" s="83">
        <v>88</v>
      </c>
    </row>
    <row r="236" spans="1:49" x14ac:dyDescent="0.15">
      <c r="A236" s="83">
        <v>20200607</v>
      </c>
      <c r="B236" s="83">
        <v>66</v>
      </c>
      <c r="C236" s="83">
        <v>47</v>
      </c>
      <c r="D236" s="83">
        <v>49</v>
      </c>
      <c r="E236" s="83">
        <v>43</v>
      </c>
      <c r="F236" s="83">
        <v>43</v>
      </c>
      <c r="G236" s="83">
        <v>47</v>
      </c>
      <c r="H236" s="83">
        <v>47</v>
      </c>
      <c r="I236" s="83">
        <v>45</v>
      </c>
      <c r="J236" s="83">
        <v>41</v>
      </c>
      <c r="K236" s="83">
        <v>40</v>
      </c>
      <c r="L236" s="83">
        <v>42</v>
      </c>
      <c r="M236" s="83">
        <v>67</v>
      </c>
      <c r="N236" s="83">
        <v>91</v>
      </c>
      <c r="O236" s="83">
        <v>92</v>
      </c>
      <c r="P236" s="83">
        <v>103</v>
      </c>
      <c r="Q236" s="83">
        <v>111</v>
      </c>
      <c r="R236" s="83">
        <v>119</v>
      </c>
      <c r="S236" s="83">
        <v>131</v>
      </c>
      <c r="T236" s="83">
        <v>139</v>
      </c>
      <c r="U236" s="83">
        <v>135</v>
      </c>
      <c r="V236" s="83">
        <v>133</v>
      </c>
      <c r="W236" s="83">
        <v>128</v>
      </c>
      <c r="X236" s="83">
        <v>133</v>
      </c>
      <c r="Y236" s="83">
        <v>141</v>
      </c>
      <c r="Z236" s="83">
        <v>125</v>
      </c>
      <c r="AA236" s="83">
        <v>132</v>
      </c>
      <c r="AB236" s="83">
        <v>135</v>
      </c>
      <c r="AC236" s="83">
        <v>131</v>
      </c>
      <c r="AD236" s="83">
        <v>121</v>
      </c>
      <c r="AE236" s="83">
        <v>139</v>
      </c>
      <c r="AF236" s="83">
        <v>137</v>
      </c>
      <c r="AG236" s="83">
        <v>129</v>
      </c>
      <c r="AH236" s="83">
        <v>125</v>
      </c>
      <c r="AI236" s="83">
        <v>124</v>
      </c>
      <c r="AJ236" s="83">
        <v>123</v>
      </c>
      <c r="AK236" s="83">
        <v>121</v>
      </c>
      <c r="AL236" s="83">
        <v>109</v>
      </c>
      <c r="AM236" s="83">
        <v>120</v>
      </c>
      <c r="AN236" s="83">
        <v>112</v>
      </c>
      <c r="AO236" s="83">
        <v>109</v>
      </c>
      <c r="AP236" s="83">
        <v>101</v>
      </c>
      <c r="AQ236" s="83">
        <v>106</v>
      </c>
      <c r="AR236" s="83">
        <v>102</v>
      </c>
      <c r="AS236" s="83">
        <v>97</v>
      </c>
      <c r="AT236" s="83">
        <v>91</v>
      </c>
      <c r="AU236" s="83">
        <v>91</v>
      </c>
      <c r="AV236" s="83">
        <v>89</v>
      </c>
      <c r="AW236" s="83">
        <v>85</v>
      </c>
    </row>
    <row r="237" spans="1:49" x14ac:dyDescent="0.15">
      <c r="A237" s="83">
        <v>20200608</v>
      </c>
      <c r="B237" s="83">
        <v>66</v>
      </c>
      <c r="C237" s="83">
        <v>46</v>
      </c>
      <c r="D237" s="83">
        <v>46</v>
      </c>
      <c r="E237" s="83">
        <v>41</v>
      </c>
      <c r="F237" s="83">
        <v>42</v>
      </c>
      <c r="G237" s="83">
        <v>45</v>
      </c>
      <c r="H237" s="83">
        <v>46</v>
      </c>
      <c r="I237" s="83">
        <v>43</v>
      </c>
      <c r="J237" s="83">
        <v>40</v>
      </c>
      <c r="K237" s="83">
        <v>40</v>
      </c>
      <c r="L237" s="83">
        <v>40</v>
      </c>
      <c r="M237" s="83">
        <v>72</v>
      </c>
      <c r="N237" s="83">
        <v>83</v>
      </c>
      <c r="O237" s="83">
        <v>83</v>
      </c>
      <c r="P237" s="83">
        <v>99</v>
      </c>
      <c r="Q237" s="83">
        <v>107</v>
      </c>
      <c r="R237" s="83">
        <v>115</v>
      </c>
      <c r="S237" s="83">
        <v>134</v>
      </c>
      <c r="T237" s="83">
        <v>135</v>
      </c>
      <c r="U237" s="83">
        <v>133</v>
      </c>
      <c r="V237" s="83">
        <v>131</v>
      </c>
      <c r="W237" s="83">
        <v>136</v>
      </c>
      <c r="X237" s="83">
        <v>139</v>
      </c>
      <c r="Y237" s="83">
        <v>136</v>
      </c>
      <c r="Z237" s="83">
        <v>137</v>
      </c>
      <c r="AA237" s="83">
        <v>143</v>
      </c>
      <c r="AB237" s="83">
        <v>142</v>
      </c>
      <c r="AC237" s="83">
        <v>143</v>
      </c>
      <c r="AD237" s="83">
        <v>135</v>
      </c>
      <c r="AE237" s="83">
        <v>149</v>
      </c>
      <c r="AF237" s="83">
        <v>147</v>
      </c>
      <c r="AG237" s="83">
        <v>149</v>
      </c>
      <c r="AH237" s="83">
        <v>140</v>
      </c>
      <c r="AI237" s="83">
        <v>130</v>
      </c>
      <c r="AJ237" s="83">
        <v>127</v>
      </c>
      <c r="AK237" s="83">
        <v>123</v>
      </c>
      <c r="AL237" s="83">
        <v>112</v>
      </c>
      <c r="AM237" s="83">
        <v>126</v>
      </c>
      <c r="AN237" s="83">
        <v>112</v>
      </c>
      <c r="AO237" s="83">
        <v>112</v>
      </c>
      <c r="AP237" s="83">
        <v>101</v>
      </c>
      <c r="AQ237" s="83">
        <v>109</v>
      </c>
      <c r="AR237" s="83">
        <v>105</v>
      </c>
      <c r="AS237" s="83">
        <v>99</v>
      </c>
      <c r="AT237" s="83">
        <v>94</v>
      </c>
      <c r="AU237" s="83">
        <v>91</v>
      </c>
      <c r="AV237" s="83">
        <v>89</v>
      </c>
      <c r="AW237" s="83">
        <v>89</v>
      </c>
    </row>
    <row r="238" spans="1:49" x14ac:dyDescent="0.15">
      <c r="A238" s="83">
        <v>20200609</v>
      </c>
      <c r="B238" s="83">
        <v>65</v>
      </c>
      <c r="C238" s="83">
        <v>47</v>
      </c>
      <c r="D238" s="83">
        <v>47</v>
      </c>
      <c r="E238" s="83">
        <v>45</v>
      </c>
      <c r="F238" s="83">
        <v>43</v>
      </c>
      <c r="G238" s="83">
        <v>49</v>
      </c>
      <c r="H238" s="83">
        <v>49</v>
      </c>
      <c r="I238" s="83">
        <v>45</v>
      </c>
      <c r="J238" s="83">
        <v>45</v>
      </c>
      <c r="K238" s="83">
        <v>42</v>
      </c>
      <c r="L238" s="83">
        <v>42</v>
      </c>
      <c r="M238" s="83">
        <v>60</v>
      </c>
      <c r="N238" s="83">
        <v>97</v>
      </c>
      <c r="O238" s="83">
        <v>89</v>
      </c>
      <c r="P238" s="83">
        <v>104</v>
      </c>
      <c r="Q238" s="83">
        <v>116</v>
      </c>
      <c r="R238" s="83">
        <v>119</v>
      </c>
      <c r="S238" s="83">
        <v>137</v>
      </c>
      <c r="T238" s="83">
        <v>145</v>
      </c>
      <c r="U238" s="83">
        <v>147</v>
      </c>
      <c r="V238" s="83">
        <v>149</v>
      </c>
      <c r="W238" s="83">
        <v>150</v>
      </c>
      <c r="X238" s="83">
        <v>155</v>
      </c>
      <c r="Y238" s="83">
        <v>158</v>
      </c>
      <c r="Z238" s="83">
        <v>152</v>
      </c>
      <c r="AA238" s="83">
        <v>160</v>
      </c>
      <c r="AB238" s="83">
        <v>157</v>
      </c>
      <c r="AC238" s="83">
        <v>147</v>
      </c>
      <c r="AD238" s="83">
        <v>143</v>
      </c>
      <c r="AE238" s="83">
        <v>157</v>
      </c>
      <c r="AF238" s="83">
        <v>158</v>
      </c>
      <c r="AG238" s="83">
        <v>150</v>
      </c>
      <c r="AH238" s="83">
        <v>141</v>
      </c>
      <c r="AI238" s="83">
        <v>138</v>
      </c>
      <c r="AJ238" s="83">
        <v>136</v>
      </c>
      <c r="AK238" s="83">
        <v>130</v>
      </c>
      <c r="AL238" s="83">
        <v>124</v>
      </c>
      <c r="AM238" s="83">
        <v>133</v>
      </c>
      <c r="AN238" s="83">
        <v>115</v>
      </c>
      <c r="AO238" s="83">
        <v>117</v>
      </c>
      <c r="AP238" s="83">
        <v>107</v>
      </c>
      <c r="AQ238" s="83">
        <v>114</v>
      </c>
      <c r="AR238" s="83">
        <v>111</v>
      </c>
      <c r="AS238" s="83">
        <v>107</v>
      </c>
      <c r="AT238" s="83">
        <v>100</v>
      </c>
      <c r="AU238" s="83">
        <v>95</v>
      </c>
      <c r="AV238" s="83">
        <v>94</v>
      </c>
      <c r="AW238" s="83">
        <v>94</v>
      </c>
    </row>
    <row r="239" spans="1:49" x14ac:dyDescent="0.15">
      <c r="A239" s="83">
        <v>20200610</v>
      </c>
      <c r="B239" s="83">
        <v>72</v>
      </c>
      <c r="C239" s="83">
        <v>51</v>
      </c>
      <c r="D239" s="83">
        <v>49</v>
      </c>
      <c r="E239" s="83">
        <v>48</v>
      </c>
      <c r="F239" s="83">
        <v>44</v>
      </c>
      <c r="G239" s="83">
        <v>52</v>
      </c>
      <c r="H239" s="83">
        <v>49</v>
      </c>
      <c r="I239" s="83">
        <v>49</v>
      </c>
      <c r="J239" s="83">
        <v>46</v>
      </c>
      <c r="K239" s="83">
        <v>44</v>
      </c>
      <c r="L239" s="83">
        <v>45</v>
      </c>
      <c r="M239" s="83">
        <v>59</v>
      </c>
      <c r="N239" s="83">
        <v>98</v>
      </c>
      <c r="O239" s="83">
        <v>90</v>
      </c>
      <c r="P239" s="83">
        <v>104</v>
      </c>
      <c r="Q239" s="83">
        <v>113</v>
      </c>
      <c r="R239" s="83">
        <v>122</v>
      </c>
      <c r="S239" s="83">
        <v>145</v>
      </c>
      <c r="T239" s="83">
        <v>144</v>
      </c>
      <c r="U239" s="83">
        <v>145</v>
      </c>
      <c r="V239" s="83">
        <v>149</v>
      </c>
      <c r="W239" s="83">
        <v>150</v>
      </c>
      <c r="X239" s="83">
        <v>157</v>
      </c>
      <c r="Y239" s="83">
        <v>152</v>
      </c>
      <c r="Z239" s="83">
        <v>142</v>
      </c>
      <c r="AA239" s="83">
        <v>156</v>
      </c>
      <c r="AB239" s="83">
        <v>149</v>
      </c>
      <c r="AC239" s="83">
        <v>150</v>
      </c>
      <c r="AD239" s="83">
        <v>138</v>
      </c>
      <c r="AE239" s="83">
        <v>152</v>
      </c>
      <c r="AF239" s="83">
        <v>147</v>
      </c>
      <c r="AG239" s="83">
        <v>139</v>
      </c>
      <c r="AH239" s="83">
        <v>133</v>
      </c>
      <c r="AI239" s="83">
        <v>133</v>
      </c>
      <c r="AJ239" s="83">
        <v>136</v>
      </c>
      <c r="AK239" s="83">
        <v>132</v>
      </c>
      <c r="AL239" s="83">
        <v>115</v>
      </c>
      <c r="AM239" s="83">
        <v>127</v>
      </c>
      <c r="AN239" s="83">
        <v>117</v>
      </c>
      <c r="AO239" s="83">
        <v>115</v>
      </c>
      <c r="AP239" s="83">
        <v>108</v>
      </c>
      <c r="AQ239" s="83">
        <v>116</v>
      </c>
      <c r="AR239" s="83">
        <v>114</v>
      </c>
      <c r="AS239" s="83">
        <v>110</v>
      </c>
      <c r="AT239" s="83">
        <v>106</v>
      </c>
      <c r="AU239" s="83">
        <v>101</v>
      </c>
      <c r="AV239" s="83">
        <v>102</v>
      </c>
      <c r="AW239" s="83">
        <v>101</v>
      </c>
    </row>
    <row r="240" spans="1:49" x14ac:dyDescent="0.15">
      <c r="A240" s="83">
        <v>20200611</v>
      </c>
      <c r="B240" s="83">
        <v>81</v>
      </c>
      <c r="C240" s="83">
        <v>67</v>
      </c>
      <c r="D240" s="83">
        <v>67</v>
      </c>
      <c r="E240" s="83">
        <v>63</v>
      </c>
      <c r="F240" s="83">
        <v>60</v>
      </c>
      <c r="G240" s="83">
        <v>69</v>
      </c>
      <c r="H240" s="83">
        <v>68</v>
      </c>
      <c r="I240" s="83">
        <v>66</v>
      </c>
      <c r="J240" s="83">
        <v>63</v>
      </c>
      <c r="K240" s="83">
        <v>62</v>
      </c>
      <c r="L240" s="83">
        <v>62</v>
      </c>
      <c r="M240" s="83">
        <v>80</v>
      </c>
      <c r="N240" s="83">
        <v>97</v>
      </c>
      <c r="O240" s="83">
        <v>94</v>
      </c>
      <c r="P240" s="83">
        <v>116</v>
      </c>
      <c r="Q240" s="83">
        <v>122</v>
      </c>
      <c r="R240" s="83">
        <v>122</v>
      </c>
      <c r="S240" s="83">
        <v>140</v>
      </c>
      <c r="T240" s="83">
        <v>148</v>
      </c>
      <c r="U240" s="83">
        <v>147</v>
      </c>
      <c r="V240" s="83">
        <v>145</v>
      </c>
      <c r="W240" s="83">
        <v>145</v>
      </c>
      <c r="X240" s="83">
        <v>153</v>
      </c>
      <c r="Y240" s="83">
        <v>150</v>
      </c>
      <c r="Z240" s="83">
        <v>148</v>
      </c>
      <c r="AA240" s="83">
        <v>153</v>
      </c>
      <c r="AB240" s="83">
        <v>148</v>
      </c>
      <c r="AC240" s="83">
        <v>145</v>
      </c>
      <c r="AD240" s="83">
        <v>137</v>
      </c>
      <c r="AE240" s="83">
        <v>147</v>
      </c>
      <c r="AF240" s="83">
        <v>143</v>
      </c>
      <c r="AG240" s="83">
        <v>141</v>
      </c>
      <c r="AH240" s="83">
        <v>135</v>
      </c>
      <c r="AI240" s="83">
        <v>129</v>
      </c>
      <c r="AJ240" s="83">
        <v>124</v>
      </c>
      <c r="AK240" s="83">
        <v>126</v>
      </c>
      <c r="AL240" s="83">
        <v>114</v>
      </c>
      <c r="AM240" s="83">
        <v>129</v>
      </c>
      <c r="AN240" s="83">
        <v>124</v>
      </c>
      <c r="AO240" s="83">
        <v>123</v>
      </c>
      <c r="AP240" s="83">
        <v>113</v>
      </c>
      <c r="AQ240" s="83">
        <v>123</v>
      </c>
      <c r="AR240" s="83">
        <v>118</v>
      </c>
      <c r="AS240" s="83">
        <v>108</v>
      </c>
      <c r="AT240" s="83">
        <v>104</v>
      </c>
      <c r="AU240" s="83">
        <v>102</v>
      </c>
      <c r="AV240" s="83">
        <v>99</v>
      </c>
      <c r="AW240" s="83">
        <v>100</v>
      </c>
    </row>
    <row r="241" spans="1:49" x14ac:dyDescent="0.15">
      <c r="A241" s="83">
        <v>20200612</v>
      </c>
      <c r="B241" s="83">
        <v>81</v>
      </c>
      <c r="C241" s="83">
        <v>69</v>
      </c>
      <c r="D241" s="83">
        <v>72</v>
      </c>
      <c r="E241" s="83">
        <v>68</v>
      </c>
      <c r="F241" s="83">
        <v>66</v>
      </c>
      <c r="G241" s="83">
        <v>72</v>
      </c>
      <c r="H241" s="83">
        <v>72</v>
      </c>
      <c r="I241" s="83">
        <v>70</v>
      </c>
      <c r="J241" s="83">
        <v>69</v>
      </c>
      <c r="K241" s="83">
        <v>68</v>
      </c>
      <c r="L241" s="83">
        <v>68</v>
      </c>
      <c r="M241" s="83">
        <v>73</v>
      </c>
      <c r="N241" s="83">
        <v>108</v>
      </c>
      <c r="O241" s="83">
        <v>98</v>
      </c>
      <c r="P241" s="83">
        <v>114</v>
      </c>
      <c r="Q241" s="83">
        <v>116</v>
      </c>
      <c r="R241" s="83">
        <v>125</v>
      </c>
      <c r="S241" s="83">
        <v>143</v>
      </c>
      <c r="T241" s="83">
        <v>146</v>
      </c>
      <c r="U241" s="83">
        <v>146</v>
      </c>
      <c r="V241" s="83">
        <v>131</v>
      </c>
      <c r="W241" s="83">
        <v>134</v>
      </c>
      <c r="X241" s="83">
        <v>134</v>
      </c>
      <c r="Y241" s="83">
        <v>135</v>
      </c>
      <c r="Z241" s="83">
        <v>131</v>
      </c>
      <c r="AA241" s="83">
        <v>142</v>
      </c>
      <c r="AB241" s="83">
        <v>144</v>
      </c>
      <c r="AC241" s="83">
        <v>143</v>
      </c>
      <c r="AD241" s="83">
        <v>138</v>
      </c>
      <c r="AE241" s="83">
        <v>158</v>
      </c>
      <c r="AF241" s="83">
        <v>151</v>
      </c>
      <c r="AG241" s="83">
        <v>144</v>
      </c>
      <c r="AH241" s="83">
        <v>136</v>
      </c>
      <c r="AI241" s="83">
        <v>132</v>
      </c>
      <c r="AJ241" s="83">
        <v>131</v>
      </c>
      <c r="AK241" s="83">
        <v>133</v>
      </c>
      <c r="AL241" s="83">
        <v>119</v>
      </c>
      <c r="AM241" s="83">
        <v>129</v>
      </c>
      <c r="AN241" s="83">
        <v>120</v>
      </c>
      <c r="AO241" s="83">
        <v>118</v>
      </c>
      <c r="AP241" s="83">
        <v>107</v>
      </c>
      <c r="AQ241" s="83">
        <v>121</v>
      </c>
      <c r="AR241" s="83">
        <v>117</v>
      </c>
      <c r="AS241" s="83">
        <v>104</v>
      </c>
      <c r="AT241" s="83">
        <v>102</v>
      </c>
      <c r="AU241" s="83">
        <v>100</v>
      </c>
      <c r="AV241" s="83">
        <v>98</v>
      </c>
      <c r="AW241" s="83">
        <v>95</v>
      </c>
    </row>
    <row r="242" spans="1:49" x14ac:dyDescent="0.15">
      <c r="A242" s="83">
        <v>20200613</v>
      </c>
      <c r="B242" s="83">
        <v>71</v>
      </c>
      <c r="C242" s="83">
        <v>53</v>
      </c>
      <c r="D242" s="83">
        <v>54</v>
      </c>
      <c r="E242" s="83">
        <v>49</v>
      </c>
      <c r="F242" s="83">
        <v>46</v>
      </c>
      <c r="G242" s="83">
        <v>52</v>
      </c>
      <c r="H242" s="83">
        <v>51</v>
      </c>
      <c r="I242" s="83">
        <v>50</v>
      </c>
      <c r="J242" s="83">
        <v>49</v>
      </c>
      <c r="K242" s="83">
        <v>47</v>
      </c>
      <c r="L242" s="83">
        <v>50</v>
      </c>
      <c r="M242" s="83">
        <v>82</v>
      </c>
      <c r="N242" s="83">
        <v>86</v>
      </c>
      <c r="O242" s="83">
        <v>92</v>
      </c>
      <c r="P242" s="83">
        <v>109</v>
      </c>
      <c r="Q242" s="83">
        <v>112</v>
      </c>
      <c r="R242" s="83">
        <v>118</v>
      </c>
      <c r="S242" s="83">
        <v>129</v>
      </c>
      <c r="T242" s="83">
        <v>138</v>
      </c>
      <c r="U242" s="83">
        <v>129</v>
      </c>
      <c r="V242" s="83">
        <v>124</v>
      </c>
      <c r="W242" s="83">
        <v>124</v>
      </c>
      <c r="X242" s="83">
        <v>121</v>
      </c>
      <c r="Y242" s="83">
        <v>129</v>
      </c>
      <c r="Z242" s="83">
        <v>124</v>
      </c>
      <c r="AA242" s="83">
        <v>128</v>
      </c>
      <c r="AB242" s="83">
        <v>126</v>
      </c>
      <c r="AC242" s="83">
        <v>131</v>
      </c>
      <c r="AD242" s="83">
        <v>123</v>
      </c>
      <c r="AE242" s="83">
        <v>131</v>
      </c>
      <c r="AF242" s="83">
        <v>130</v>
      </c>
      <c r="AG242" s="83">
        <v>129</v>
      </c>
      <c r="AH242" s="83">
        <v>124</v>
      </c>
      <c r="AI242" s="83">
        <v>125</v>
      </c>
      <c r="AJ242" s="83">
        <v>123</v>
      </c>
      <c r="AK242" s="83">
        <v>120</v>
      </c>
      <c r="AL242" s="83">
        <v>108</v>
      </c>
      <c r="AM242" s="83">
        <v>117</v>
      </c>
      <c r="AN242" s="83">
        <v>122</v>
      </c>
      <c r="AO242" s="83">
        <v>119</v>
      </c>
      <c r="AP242" s="83">
        <v>111</v>
      </c>
      <c r="AQ242" s="83">
        <v>113</v>
      </c>
      <c r="AR242" s="83">
        <v>108</v>
      </c>
      <c r="AS242" s="83">
        <v>103</v>
      </c>
      <c r="AT242" s="83">
        <v>101</v>
      </c>
      <c r="AU242" s="83">
        <v>96</v>
      </c>
      <c r="AV242" s="83">
        <v>97</v>
      </c>
      <c r="AW242" s="83">
        <v>93</v>
      </c>
    </row>
    <row r="243" spans="1:49" x14ac:dyDescent="0.15">
      <c r="A243" s="83">
        <v>20200614</v>
      </c>
      <c r="B243" s="83">
        <v>67</v>
      </c>
      <c r="C243" s="83">
        <v>52</v>
      </c>
      <c r="D243" s="83">
        <v>51</v>
      </c>
      <c r="E243" s="83">
        <v>49</v>
      </c>
      <c r="F243" s="83">
        <v>46</v>
      </c>
      <c r="G243" s="83">
        <v>52</v>
      </c>
      <c r="H243" s="83">
        <v>50</v>
      </c>
      <c r="I243" s="83">
        <v>49</v>
      </c>
      <c r="J243" s="83">
        <v>48</v>
      </c>
      <c r="K243" s="83">
        <v>46</v>
      </c>
      <c r="L243" s="83">
        <v>46</v>
      </c>
      <c r="M243" s="83">
        <v>60</v>
      </c>
      <c r="N243" s="83">
        <v>102</v>
      </c>
      <c r="O243" s="83">
        <v>98</v>
      </c>
      <c r="P243" s="83">
        <v>110</v>
      </c>
      <c r="Q243" s="83">
        <v>114</v>
      </c>
      <c r="R243" s="83">
        <v>117</v>
      </c>
      <c r="S243" s="83">
        <v>139</v>
      </c>
      <c r="T243" s="83">
        <v>149</v>
      </c>
      <c r="U243" s="83">
        <v>150</v>
      </c>
      <c r="V243" s="83">
        <v>150</v>
      </c>
      <c r="W243" s="83">
        <v>145</v>
      </c>
      <c r="X243" s="83">
        <v>146</v>
      </c>
      <c r="Y243" s="83">
        <v>150</v>
      </c>
      <c r="Z243" s="83">
        <v>137</v>
      </c>
      <c r="AA243" s="83">
        <v>148</v>
      </c>
      <c r="AB243" s="83">
        <v>141</v>
      </c>
      <c r="AC243" s="83">
        <v>132</v>
      </c>
      <c r="AD243" s="83">
        <v>124</v>
      </c>
      <c r="AE243" s="83">
        <v>137</v>
      </c>
      <c r="AF243" s="83">
        <v>134</v>
      </c>
      <c r="AG243" s="83">
        <v>134</v>
      </c>
      <c r="AH243" s="83">
        <v>127</v>
      </c>
      <c r="AI243" s="83">
        <v>126</v>
      </c>
      <c r="AJ243" s="83">
        <v>124</v>
      </c>
      <c r="AK243" s="83">
        <v>123</v>
      </c>
      <c r="AL243" s="83">
        <v>113</v>
      </c>
      <c r="AM243" s="83">
        <v>127</v>
      </c>
      <c r="AN243" s="83">
        <v>122</v>
      </c>
      <c r="AO243" s="83">
        <v>117</v>
      </c>
      <c r="AP243" s="83">
        <v>109</v>
      </c>
      <c r="AQ243" s="83">
        <v>120</v>
      </c>
      <c r="AR243" s="83">
        <v>117</v>
      </c>
      <c r="AS243" s="83">
        <v>114</v>
      </c>
      <c r="AT243" s="83">
        <v>112</v>
      </c>
      <c r="AU243" s="83">
        <v>107</v>
      </c>
      <c r="AV243" s="83">
        <v>106</v>
      </c>
      <c r="AW243" s="83">
        <v>107</v>
      </c>
    </row>
    <row r="244" spans="1:49" x14ac:dyDescent="0.15">
      <c r="A244" s="83">
        <v>20200615</v>
      </c>
      <c r="B244" s="83">
        <v>76</v>
      </c>
      <c r="C244" s="83">
        <v>58</v>
      </c>
      <c r="D244" s="83">
        <v>59</v>
      </c>
      <c r="E244" s="83">
        <v>54</v>
      </c>
      <c r="F244" s="83">
        <v>50</v>
      </c>
      <c r="G244" s="83">
        <v>57</v>
      </c>
      <c r="H244" s="83">
        <v>55</v>
      </c>
      <c r="I244" s="83">
        <v>54</v>
      </c>
      <c r="J244" s="83">
        <v>51</v>
      </c>
      <c r="K244" s="83">
        <v>50</v>
      </c>
      <c r="L244" s="83">
        <v>50</v>
      </c>
      <c r="M244" s="83">
        <v>83</v>
      </c>
      <c r="N244" s="83">
        <v>92</v>
      </c>
      <c r="O244" s="83">
        <v>96</v>
      </c>
      <c r="P244" s="83">
        <v>112</v>
      </c>
      <c r="Q244" s="83">
        <v>124</v>
      </c>
      <c r="R244" s="83">
        <v>126</v>
      </c>
      <c r="S244" s="83">
        <v>141</v>
      </c>
      <c r="T244" s="83">
        <v>153</v>
      </c>
      <c r="U244" s="83">
        <v>146</v>
      </c>
      <c r="V244" s="83">
        <v>151</v>
      </c>
      <c r="W244" s="83">
        <v>153</v>
      </c>
      <c r="X244" s="83">
        <v>156</v>
      </c>
      <c r="Y244" s="83">
        <v>156</v>
      </c>
      <c r="Z244" s="83">
        <v>144</v>
      </c>
      <c r="AA244" s="83">
        <v>154</v>
      </c>
      <c r="AB244" s="83">
        <v>152</v>
      </c>
      <c r="AC244" s="83">
        <v>149</v>
      </c>
      <c r="AD244" s="83">
        <v>148</v>
      </c>
      <c r="AE244" s="83">
        <v>160</v>
      </c>
      <c r="AF244" s="83">
        <v>159</v>
      </c>
      <c r="AG244" s="83">
        <v>150</v>
      </c>
      <c r="AH244" s="83">
        <v>148</v>
      </c>
      <c r="AI244" s="83">
        <v>144</v>
      </c>
      <c r="AJ244" s="83">
        <v>145</v>
      </c>
      <c r="AK244" s="83">
        <v>138</v>
      </c>
      <c r="AL244" s="83">
        <v>126</v>
      </c>
      <c r="AM244" s="83">
        <v>142</v>
      </c>
      <c r="AN244" s="83">
        <v>130</v>
      </c>
      <c r="AO244" s="83">
        <v>124</v>
      </c>
      <c r="AP244" s="83">
        <v>116</v>
      </c>
      <c r="AQ244" s="83">
        <v>125</v>
      </c>
      <c r="AR244" s="83">
        <v>122</v>
      </c>
      <c r="AS244" s="83">
        <v>114</v>
      </c>
      <c r="AT244" s="83">
        <v>109</v>
      </c>
      <c r="AU244" s="83">
        <v>107</v>
      </c>
      <c r="AV244" s="83">
        <v>100</v>
      </c>
      <c r="AW244" s="83">
        <v>97</v>
      </c>
    </row>
    <row r="245" spans="1:49" x14ac:dyDescent="0.15">
      <c r="A245" s="83">
        <v>20200616</v>
      </c>
      <c r="B245" s="83">
        <v>70</v>
      </c>
      <c r="C245" s="83">
        <v>55</v>
      </c>
      <c r="D245" s="83">
        <v>53</v>
      </c>
      <c r="E245" s="83">
        <v>51</v>
      </c>
      <c r="F245" s="83">
        <v>49</v>
      </c>
      <c r="G245" s="83">
        <v>55</v>
      </c>
      <c r="H245" s="83">
        <v>53</v>
      </c>
      <c r="I245" s="83">
        <v>51</v>
      </c>
      <c r="J245" s="83">
        <v>49</v>
      </c>
      <c r="K245" s="83">
        <v>47</v>
      </c>
      <c r="L245" s="83">
        <v>50</v>
      </c>
      <c r="M245" s="83">
        <v>80</v>
      </c>
      <c r="N245" s="83">
        <v>91</v>
      </c>
      <c r="O245" s="83">
        <v>94</v>
      </c>
      <c r="P245" s="83">
        <v>112</v>
      </c>
      <c r="Q245" s="83">
        <v>115</v>
      </c>
      <c r="R245" s="83">
        <v>128</v>
      </c>
      <c r="S245" s="83">
        <v>143</v>
      </c>
      <c r="T245" s="83">
        <v>154</v>
      </c>
      <c r="U245" s="83">
        <v>156</v>
      </c>
      <c r="V245" s="83">
        <v>155</v>
      </c>
      <c r="W245" s="83">
        <v>153</v>
      </c>
      <c r="X245" s="83">
        <v>149</v>
      </c>
      <c r="Y245" s="83">
        <v>140</v>
      </c>
      <c r="Z245" s="83">
        <v>133</v>
      </c>
      <c r="AA245" s="83">
        <v>139</v>
      </c>
      <c r="AB245" s="83">
        <v>145</v>
      </c>
      <c r="AC245" s="83">
        <v>140</v>
      </c>
      <c r="AD245" s="83">
        <v>126</v>
      </c>
      <c r="AE245" s="83">
        <v>145</v>
      </c>
      <c r="AF245" s="83">
        <v>137</v>
      </c>
      <c r="AG245" s="83">
        <v>126</v>
      </c>
      <c r="AH245" s="83">
        <v>124</v>
      </c>
      <c r="AI245" s="83">
        <v>123</v>
      </c>
      <c r="AJ245" s="83">
        <v>125</v>
      </c>
      <c r="AK245" s="83">
        <v>118</v>
      </c>
      <c r="AL245" s="83">
        <v>111</v>
      </c>
      <c r="AM245" s="83">
        <v>118</v>
      </c>
      <c r="AN245" s="83">
        <v>116</v>
      </c>
      <c r="AO245" s="83">
        <v>109</v>
      </c>
      <c r="AP245" s="83">
        <v>103</v>
      </c>
      <c r="AQ245" s="83">
        <v>111</v>
      </c>
      <c r="AR245" s="83">
        <v>108</v>
      </c>
      <c r="AS245" s="83">
        <v>101</v>
      </c>
      <c r="AT245" s="83">
        <v>96</v>
      </c>
      <c r="AU245" s="83">
        <v>95</v>
      </c>
      <c r="AV245" s="83">
        <v>94</v>
      </c>
      <c r="AW245" s="83">
        <v>90</v>
      </c>
    </row>
    <row r="246" spans="1:49" x14ac:dyDescent="0.15">
      <c r="A246" s="83">
        <v>20200617</v>
      </c>
      <c r="B246" s="83">
        <v>68</v>
      </c>
      <c r="C246" s="83">
        <v>51</v>
      </c>
      <c r="D246" s="83">
        <v>50</v>
      </c>
      <c r="E246" s="83">
        <v>46</v>
      </c>
      <c r="F246" s="83">
        <v>43</v>
      </c>
      <c r="G246" s="83">
        <v>50</v>
      </c>
      <c r="H246" s="83">
        <v>48</v>
      </c>
      <c r="I246" s="83">
        <v>48</v>
      </c>
      <c r="J246" s="83">
        <v>46</v>
      </c>
      <c r="K246" s="83">
        <v>44</v>
      </c>
      <c r="L246" s="83">
        <v>45</v>
      </c>
      <c r="M246" s="83">
        <v>60</v>
      </c>
      <c r="N246" s="83">
        <v>95</v>
      </c>
      <c r="O246" s="83">
        <v>88</v>
      </c>
      <c r="P246" s="83">
        <v>101</v>
      </c>
      <c r="Q246" s="83">
        <v>116</v>
      </c>
      <c r="R246" s="83">
        <v>113</v>
      </c>
      <c r="S246" s="83">
        <v>130</v>
      </c>
      <c r="T246" s="83">
        <v>136</v>
      </c>
      <c r="U246" s="83">
        <v>133</v>
      </c>
      <c r="V246" s="83">
        <v>131</v>
      </c>
      <c r="W246" s="83">
        <v>128</v>
      </c>
      <c r="X246" s="83">
        <v>131</v>
      </c>
      <c r="Y246" s="83">
        <v>130</v>
      </c>
      <c r="Z246" s="83">
        <v>122</v>
      </c>
      <c r="AA246" s="83">
        <v>138</v>
      </c>
      <c r="AB246" s="83">
        <v>130</v>
      </c>
      <c r="AC246" s="83">
        <v>134</v>
      </c>
      <c r="AD246" s="83">
        <v>125</v>
      </c>
      <c r="AE246" s="83">
        <v>140</v>
      </c>
      <c r="AF246" s="83">
        <v>137</v>
      </c>
      <c r="AG246" s="83">
        <v>136</v>
      </c>
      <c r="AH246" s="83">
        <v>132</v>
      </c>
      <c r="AI246" s="83">
        <v>125</v>
      </c>
      <c r="AJ246" s="83">
        <v>122</v>
      </c>
      <c r="AK246" s="83">
        <v>121</v>
      </c>
      <c r="AL246" s="83">
        <v>110</v>
      </c>
      <c r="AM246" s="83">
        <v>120</v>
      </c>
      <c r="AN246" s="83">
        <v>111</v>
      </c>
      <c r="AO246" s="83">
        <v>112</v>
      </c>
      <c r="AP246" s="83">
        <v>101</v>
      </c>
      <c r="AQ246" s="83">
        <v>106</v>
      </c>
      <c r="AR246" s="83">
        <v>103</v>
      </c>
      <c r="AS246" s="83">
        <v>97</v>
      </c>
      <c r="AT246" s="83">
        <v>92</v>
      </c>
      <c r="AU246" s="83">
        <v>93</v>
      </c>
      <c r="AV246" s="83">
        <v>92</v>
      </c>
      <c r="AW246" s="83">
        <v>89</v>
      </c>
    </row>
    <row r="247" spans="1:49" x14ac:dyDescent="0.15">
      <c r="A247" s="83">
        <v>20200618</v>
      </c>
      <c r="B247" s="83">
        <v>65</v>
      </c>
      <c r="C247" s="83">
        <v>49</v>
      </c>
      <c r="D247" s="83">
        <v>48</v>
      </c>
      <c r="E247" s="83">
        <v>45</v>
      </c>
      <c r="F247" s="83">
        <v>42</v>
      </c>
      <c r="G247" s="83">
        <v>49</v>
      </c>
      <c r="H247" s="83">
        <v>48</v>
      </c>
      <c r="I247" s="83">
        <v>48</v>
      </c>
      <c r="J247" s="83">
        <v>45</v>
      </c>
      <c r="K247" s="83">
        <v>42</v>
      </c>
      <c r="L247" s="83">
        <v>63</v>
      </c>
      <c r="M247" s="83">
        <v>51</v>
      </c>
      <c r="N247" s="83">
        <v>12</v>
      </c>
      <c r="O247" s="83">
        <v>98</v>
      </c>
      <c r="P247" s="83">
        <v>120</v>
      </c>
      <c r="Q247" s="83">
        <v>113</v>
      </c>
      <c r="R247" s="83">
        <v>122</v>
      </c>
      <c r="S247" s="83">
        <v>138</v>
      </c>
      <c r="T247" s="83">
        <v>149</v>
      </c>
      <c r="U247" s="83">
        <v>140</v>
      </c>
      <c r="V247" s="83">
        <v>143</v>
      </c>
      <c r="W247" s="83">
        <v>146</v>
      </c>
      <c r="X247" s="83">
        <v>150</v>
      </c>
      <c r="Y247" s="83">
        <v>157</v>
      </c>
      <c r="Z247" s="83">
        <v>145</v>
      </c>
      <c r="AA247" s="83">
        <v>154</v>
      </c>
      <c r="AB247" s="83">
        <v>152</v>
      </c>
      <c r="AC247" s="83">
        <v>148</v>
      </c>
      <c r="AD247" s="83">
        <v>140</v>
      </c>
      <c r="AE247" s="83">
        <v>161</v>
      </c>
      <c r="AF247" s="83">
        <v>154</v>
      </c>
      <c r="AG247" s="83">
        <v>140</v>
      </c>
      <c r="AH247" s="83">
        <v>140</v>
      </c>
      <c r="AI247" s="83">
        <v>134</v>
      </c>
      <c r="AJ247" s="83">
        <v>133</v>
      </c>
      <c r="AK247" s="83">
        <v>130</v>
      </c>
      <c r="AL247" s="83">
        <v>120</v>
      </c>
      <c r="AM247" s="83">
        <v>129</v>
      </c>
      <c r="AN247" s="83">
        <v>123</v>
      </c>
      <c r="AO247" s="83">
        <v>121</v>
      </c>
      <c r="AP247" s="83">
        <v>114</v>
      </c>
      <c r="AQ247" s="83">
        <v>122</v>
      </c>
      <c r="AR247" s="83">
        <v>117</v>
      </c>
      <c r="AS247" s="83">
        <v>108</v>
      </c>
      <c r="AT247" s="83">
        <v>103</v>
      </c>
      <c r="AU247" s="83">
        <v>101</v>
      </c>
      <c r="AV247" s="83">
        <v>98</v>
      </c>
      <c r="AW247" s="83">
        <v>95</v>
      </c>
    </row>
    <row r="248" spans="1:49" x14ac:dyDescent="0.15">
      <c r="A248" s="83">
        <v>20200619</v>
      </c>
      <c r="B248" s="83">
        <v>70</v>
      </c>
      <c r="C248" s="83">
        <v>52</v>
      </c>
      <c r="D248" s="83">
        <v>53</v>
      </c>
      <c r="E248" s="83">
        <v>50</v>
      </c>
      <c r="F248" s="83">
        <v>47</v>
      </c>
      <c r="G248" s="83">
        <v>54</v>
      </c>
      <c r="H248" s="83">
        <v>52</v>
      </c>
      <c r="I248" s="83">
        <v>51</v>
      </c>
      <c r="J248" s="83">
        <v>49</v>
      </c>
      <c r="K248" s="83">
        <v>49</v>
      </c>
      <c r="L248" s="83">
        <v>50</v>
      </c>
      <c r="M248" s="83">
        <v>69</v>
      </c>
      <c r="N248" s="83">
        <v>91</v>
      </c>
      <c r="O248" s="83">
        <v>94</v>
      </c>
      <c r="P248" s="83">
        <v>110</v>
      </c>
      <c r="Q248" s="83">
        <v>114</v>
      </c>
      <c r="R248" s="83">
        <v>118</v>
      </c>
      <c r="S248" s="83">
        <v>131</v>
      </c>
      <c r="T248" s="83">
        <v>142</v>
      </c>
      <c r="U248" s="83">
        <v>139</v>
      </c>
      <c r="V248" s="83">
        <v>137</v>
      </c>
      <c r="W248" s="83">
        <v>138</v>
      </c>
      <c r="X248" s="83">
        <v>141</v>
      </c>
      <c r="Y248" s="83">
        <v>143</v>
      </c>
      <c r="Z248" s="83">
        <v>137</v>
      </c>
      <c r="AA248" s="83">
        <v>143</v>
      </c>
      <c r="AB248" s="83">
        <v>139</v>
      </c>
      <c r="AC248" s="83">
        <v>135</v>
      </c>
      <c r="AD248" s="83">
        <v>123</v>
      </c>
      <c r="AE248" s="83">
        <v>139</v>
      </c>
      <c r="AF248" s="83">
        <v>130</v>
      </c>
      <c r="AG248" s="83">
        <v>127</v>
      </c>
      <c r="AH248" s="83">
        <v>118</v>
      </c>
      <c r="AI248" s="83">
        <v>116</v>
      </c>
      <c r="AJ248" s="83">
        <v>117</v>
      </c>
      <c r="AK248" s="83">
        <v>111</v>
      </c>
      <c r="AL248" s="83">
        <v>104</v>
      </c>
      <c r="AM248" s="83">
        <v>116</v>
      </c>
      <c r="AN248" s="83">
        <v>109</v>
      </c>
      <c r="AO248" s="83">
        <v>106</v>
      </c>
      <c r="AP248" s="83">
        <v>98</v>
      </c>
      <c r="AQ248" s="83">
        <v>108</v>
      </c>
      <c r="AR248" s="83">
        <v>106</v>
      </c>
      <c r="AS248" s="83">
        <v>99</v>
      </c>
      <c r="AT248" s="83">
        <v>97</v>
      </c>
      <c r="AU248" s="83">
        <v>94</v>
      </c>
      <c r="AV248" s="83">
        <v>93</v>
      </c>
      <c r="AW248" s="83">
        <v>93</v>
      </c>
    </row>
    <row r="249" spans="1:49" x14ac:dyDescent="0.15">
      <c r="A249" s="83">
        <v>20200620</v>
      </c>
      <c r="B249" s="83">
        <v>73</v>
      </c>
      <c r="C249" s="83">
        <v>52</v>
      </c>
      <c r="D249" s="83">
        <v>52</v>
      </c>
      <c r="E249" s="83">
        <v>48</v>
      </c>
      <c r="F249" s="83">
        <v>47</v>
      </c>
      <c r="G249" s="83">
        <v>53</v>
      </c>
      <c r="H249" s="83">
        <v>51</v>
      </c>
      <c r="I249" s="83">
        <v>51</v>
      </c>
      <c r="J249" s="83">
        <v>48</v>
      </c>
      <c r="K249" s="83">
        <v>47</v>
      </c>
      <c r="L249" s="83">
        <v>47</v>
      </c>
      <c r="M249" s="83">
        <v>56</v>
      </c>
      <c r="N249" s="83">
        <v>99</v>
      </c>
      <c r="O249" s="83">
        <v>93</v>
      </c>
      <c r="P249" s="83">
        <v>109</v>
      </c>
      <c r="Q249" s="83">
        <v>111</v>
      </c>
      <c r="R249" s="83">
        <v>116</v>
      </c>
      <c r="S249" s="83">
        <v>130</v>
      </c>
      <c r="T249" s="83">
        <v>136</v>
      </c>
      <c r="U249" s="83">
        <v>129</v>
      </c>
      <c r="V249" s="83">
        <v>126</v>
      </c>
      <c r="W249" s="83">
        <v>123</v>
      </c>
      <c r="X249" s="83">
        <v>128</v>
      </c>
      <c r="Y249" s="83">
        <v>128</v>
      </c>
      <c r="Z249" s="83">
        <v>120</v>
      </c>
      <c r="AA249" s="83">
        <v>130</v>
      </c>
      <c r="AB249" s="83">
        <v>131</v>
      </c>
      <c r="AC249" s="83">
        <v>130</v>
      </c>
      <c r="AD249" s="83">
        <v>120</v>
      </c>
      <c r="AE249" s="83">
        <v>140</v>
      </c>
      <c r="AF249" s="83">
        <v>133</v>
      </c>
      <c r="AG249" s="83">
        <v>132</v>
      </c>
      <c r="AH249" s="83">
        <v>125</v>
      </c>
      <c r="AI249" s="83">
        <v>124</v>
      </c>
      <c r="AJ249" s="83">
        <v>121</v>
      </c>
      <c r="AK249" s="83">
        <v>118</v>
      </c>
      <c r="AL249" s="83">
        <v>103</v>
      </c>
      <c r="AM249" s="83">
        <v>114</v>
      </c>
      <c r="AN249" s="83">
        <v>111</v>
      </c>
      <c r="AO249" s="83">
        <v>118</v>
      </c>
      <c r="AP249" s="83">
        <v>109</v>
      </c>
      <c r="AQ249" s="83">
        <v>114</v>
      </c>
      <c r="AR249" s="83">
        <v>107</v>
      </c>
      <c r="AS249" s="83">
        <v>99</v>
      </c>
      <c r="AT249" s="83">
        <v>95</v>
      </c>
      <c r="AU249" s="83">
        <v>91</v>
      </c>
      <c r="AV249" s="83">
        <v>87</v>
      </c>
      <c r="AW249" s="83">
        <v>90</v>
      </c>
    </row>
    <row r="250" spans="1:49" x14ac:dyDescent="0.15">
      <c r="A250" s="83">
        <v>20200621</v>
      </c>
      <c r="B250" s="83">
        <v>62</v>
      </c>
      <c r="C250" s="83">
        <v>47</v>
      </c>
      <c r="D250" s="83">
        <v>46</v>
      </c>
      <c r="E250" s="83">
        <v>44</v>
      </c>
      <c r="F250" s="83">
        <v>42</v>
      </c>
      <c r="G250" s="83">
        <v>47</v>
      </c>
      <c r="H250" s="83">
        <v>45</v>
      </c>
      <c r="I250" s="83">
        <v>45</v>
      </c>
      <c r="J250" s="83">
        <v>41</v>
      </c>
      <c r="K250" s="83">
        <v>40</v>
      </c>
      <c r="L250" s="83">
        <v>41</v>
      </c>
      <c r="M250" s="83">
        <v>66</v>
      </c>
      <c r="N250" s="83">
        <v>86</v>
      </c>
      <c r="O250" s="83">
        <v>94</v>
      </c>
      <c r="P250" s="83">
        <v>101</v>
      </c>
      <c r="Q250" s="83">
        <v>105</v>
      </c>
      <c r="R250" s="83">
        <v>115</v>
      </c>
      <c r="S250" s="83">
        <v>133</v>
      </c>
      <c r="T250" s="83">
        <v>139</v>
      </c>
      <c r="U250" s="83">
        <v>138</v>
      </c>
      <c r="V250" s="83">
        <v>137</v>
      </c>
      <c r="W250" s="83">
        <v>139</v>
      </c>
      <c r="X250" s="83">
        <v>138</v>
      </c>
      <c r="Y250" s="83">
        <v>144</v>
      </c>
      <c r="Z250" s="83">
        <v>138</v>
      </c>
      <c r="AA250" s="83">
        <v>151</v>
      </c>
      <c r="AB250" s="83">
        <v>144</v>
      </c>
      <c r="AC250" s="83">
        <v>141</v>
      </c>
      <c r="AD250" s="83">
        <v>135</v>
      </c>
      <c r="AE250" s="83">
        <v>156</v>
      </c>
      <c r="AF250" s="83">
        <v>143</v>
      </c>
      <c r="AG250" s="83">
        <v>146</v>
      </c>
      <c r="AH250" s="83">
        <v>136</v>
      </c>
      <c r="AI250" s="83">
        <v>139</v>
      </c>
      <c r="AJ250" s="83">
        <v>138</v>
      </c>
      <c r="AK250" s="83">
        <v>130</v>
      </c>
      <c r="AL250" s="83">
        <v>121</v>
      </c>
      <c r="AM250" s="83">
        <v>127</v>
      </c>
      <c r="AN250" s="83">
        <v>117</v>
      </c>
      <c r="AO250" s="83">
        <v>118</v>
      </c>
      <c r="AP250" s="83">
        <v>114</v>
      </c>
      <c r="AQ250" s="83">
        <v>124</v>
      </c>
      <c r="AR250" s="83">
        <v>113</v>
      </c>
      <c r="AS250" s="83">
        <v>106</v>
      </c>
      <c r="AT250" s="83">
        <v>102</v>
      </c>
      <c r="AU250" s="83">
        <v>95</v>
      </c>
      <c r="AV250" s="83">
        <v>97</v>
      </c>
      <c r="AW250" s="83">
        <v>99</v>
      </c>
    </row>
    <row r="251" spans="1:49" x14ac:dyDescent="0.15">
      <c r="A251" s="83">
        <v>20200622</v>
      </c>
      <c r="B251" s="83">
        <v>73</v>
      </c>
      <c r="C251" s="83">
        <v>55</v>
      </c>
      <c r="D251" s="83">
        <v>52</v>
      </c>
      <c r="E251" s="83">
        <v>50</v>
      </c>
      <c r="F251" s="83">
        <v>47</v>
      </c>
      <c r="G251" s="83">
        <v>53</v>
      </c>
      <c r="H251" s="83">
        <v>51</v>
      </c>
      <c r="I251" s="83">
        <v>52</v>
      </c>
      <c r="J251" s="83">
        <v>48</v>
      </c>
      <c r="K251" s="83">
        <v>48</v>
      </c>
      <c r="L251" s="83">
        <v>53</v>
      </c>
      <c r="M251" s="83">
        <v>69</v>
      </c>
      <c r="N251" s="83">
        <v>100</v>
      </c>
      <c r="O251" s="83">
        <v>95</v>
      </c>
      <c r="P251" s="83">
        <v>110</v>
      </c>
      <c r="Q251" s="83">
        <v>117</v>
      </c>
      <c r="R251" s="83">
        <v>117</v>
      </c>
      <c r="S251" s="83">
        <v>136</v>
      </c>
      <c r="T251" s="83">
        <v>144</v>
      </c>
      <c r="U251" s="83">
        <v>140</v>
      </c>
      <c r="V251" s="83">
        <v>137</v>
      </c>
      <c r="W251" s="83">
        <v>139</v>
      </c>
      <c r="X251" s="83">
        <v>134</v>
      </c>
      <c r="Y251" s="83">
        <v>137</v>
      </c>
      <c r="Z251" s="83">
        <v>131</v>
      </c>
      <c r="AA251" s="83">
        <v>142</v>
      </c>
      <c r="AB251" s="83">
        <v>131</v>
      </c>
      <c r="AC251" s="83">
        <v>131</v>
      </c>
      <c r="AD251" s="83">
        <v>122</v>
      </c>
      <c r="AE251" s="83">
        <v>134</v>
      </c>
      <c r="AF251" s="83">
        <v>129</v>
      </c>
      <c r="AG251" s="83">
        <v>126</v>
      </c>
      <c r="AH251" s="83">
        <v>118</v>
      </c>
      <c r="AI251" s="83">
        <v>114</v>
      </c>
      <c r="AJ251" s="83">
        <v>115</v>
      </c>
      <c r="AK251" s="83">
        <v>116</v>
      </c>
      <c r="AL251" s="83">
        <v>108</v>
      </c>
      <c r="AM251" s="83">
        <v>117</v>
      </c>
      <c r="AN251" s="83">
        <v>109</v>
      </c>
      <c r="AO251" s="83">
        <v>106</v>
      </c>
      <c r="AP251" s="83">
        <v>103</v>
      </c>
      <c r="AQ251" s="83">
        <v>109</v>
      </c>
      <c r="AR251" s="83">
        <v>108</v>
      </c>
      <c r="AS251" s="83">
        <v>103</v>
      </c>
      <c r="AT251" s="83">
        <v>98</v>
      </c>
      <c r="AU251" s="83">
        <v>97</v>
      </c>
      <c r="AV251" s="83">
        <v>98</v>
      </c>
      <c r="AW251" s="83">
        <v>94</v>
      </c>
    </row>
    <row r="252" spans="1:49" x14ac:dyDescent="0.15">
      <c r="A252" s="83">
        <v>20200623</v>
      </c>
      <c r="B252" s="83">
        <v>66</v>
      </c>
      <c r="C252" s="83">
        <v>52</v>
      </c>
      <c r="D252" s="83">
        <v>50</v>
      </c>
      <c r="E252" s="83">
        <v>48</v>
      </c>
      <c r="F252" s="83">
        <v>46</v>
      </c>
      <c r="G252" s="83">
        <v>52</v>
      </c>
      <c r="H252" s="83">
        <v>50</v>
      </c>
      <c r="I252" s="83">
        <v>50</v>
      </c>
      <c r="J252" s="83">
        <v>45</v>
      </c>
      <c r="K252" s="83">
        <v>46</v>
      </c>
      <c r="L252" s="83">
        <v>47</v>
      </c>
      <c r="M252" s="83">
        <v>72</v>
      </c>
      <c r="N252" s="83">
        <v>87</v>
      </c>
      <c r="O252" s="83">
        <v>94</v>
      </c>
      <c r="P252" s="83">
        <v>103</v>
      </c>
      <c r="Q252" s="83">
        <v>118</v>
      </c>
      <c r="R252" s="83">
        <v>123</v>
      </c>
      <c r="S252" s="83">
        <v>142</v>
      </c>
      <c r="T252" s="83">
        <v>153</v>
      </c>
      <c r="U252" s="83">
        <v>149</v>
      </c>
      <c r="V252" s="83">
        <v>146</v>
      </c>
      <c r="W252" s="83">
        <v>146</v>
      </c>
      <c r="X252" s="83">
        <v>149</v>
      </c>
      <c r="Y252" s="83">
        <v>149</v>
      </c>
      <c r="Z252" s="83">
        <v>143</v>
      </c>
      <c r="AA252" s="83">
        <v>148</v>
      </c>
      <c r="AB252" s="83">
        <v>147</v>
      </c>
      <c r="AC252" s="83">
        <v>146</v>
      </c>
      <c r="AD252" s="83">
        <v>141</v>
      </c>
      <c r="AE252" s="83">
        <v>159</v>
      </c>
      <c r="AF252" s="83">
        <v>151</v>
      </c>
      <c r="AG252" s="83">
        <v>141</v>
      </c>
      <c r="AH252" s="83">
        <v>139</v>
      </c>
      <c r="AI252" s="83">
        <v>138</v>
      </c>
      <c r="AJ252" s="83">
        <v>138</v>
      </c>
      <c r="AK252" s="83">
        <v>132</v>
      </c>
      <c r="AL252" s="83">
        <v>113</v>
      </c>
      <c r="AM252" s="83">
        <v>127</v>
      </c>
      <c r="AN252" s="83">
        <v>117</v>
      </c>
      <c r="AO252" s="83">
        <v>115</v>
      </c>
      <c r="AP252" s="83">
        <v>108</v>
      </c>
      <c r="AQ252" s="83">
        <v>116</v>
      </c>
      <c r="AR252" s="83">
        <v>114</v>
      </c>
      <c r="AS252" s="83">
        <v>109</v>
      </c>
      <c r="AT252" s="83">
        <v>102</v>
      </c>
      <c r="AU252" s="83">
        <v>100</v>
      </c>
      <c r="AV252" s="83">
        <v>97</v>
      </c>
      <c r="AW252" s="83">
        <v>98</v>
      </c>
    </row>
    <row r="253" spans="1:49" x14ac:dyDescent="0.15">
      <c r="A253" s="83">
        <v>20200624</v>
      </c>
      <c r="B253" s="83">
        <v>71</v>
      </c>
      <c r="C253" s="83">
        <v>52</v>
      </c>
      <c r="D253" s="83">
        <v>51</v>
      </c>
      <c r="E253" s="83">
        <v>48</v>
      </c>
      <c r="F253" s="83">
        <v>45</v>
      </c>
      <c r="G253" s="83">
        <v>51</v>
      </c>
      <c r="H253" s="83">
        <v>50</v>
      </c>
      <c r="I253" s="83">
        <v>49</v>
      </c>
      <c r="J253" s="83">
        <v>47</v>
      </c>
      <c r="K253" s="83">
        <v>45</v>
      </c>
      <c r="L253" s="83">
        <v>47</v>
      </c>
      <c r="M253" s="83">
        <v>72</v>
      </c>
      <c r="N253" s="83">
        <v>92</v>
      </c>
      <c r="O253" s="83">
        <v>96</v>
      </c>
      <c r="P253" s="83">
        <v>110</v>
      </c>
      <c r="Q253" s="83">
        <v>121</v>
      </c>
      <c r="R253" s="83">
        <v>132</v>
      </c>
      <c r="S253" s="83">
        <v>157</v>
      </c>
      <c r="T253" s="83">
        <v>157</v>
      </c>
      <c r="U253" s="83">
        <v>158</v>
      </c>
      <c r="V253" s="83">
        <v>154</v>
      </c>
      <c r="W253" s="83">
        <v>161</v>
      </c>
      <c r="X253" s="83">
        <v>162</v>
      </c>
      <c r="Y253" s="83">
        <v>166</v>
      </c>
      <c r="Z253" s="83">
        <v>156</v>
      </c>
      <c r="AA253" s="83">
        <v>169</v>
      </c>
      <c r="AB253" s="83">
        <v>161</v>
      </c>
      <c r="AC253" s="83">
        <v>160</v>
      </c>
      <c r="AD253" s="83">
        <v>148</v>
      </c>
      <c r="AE253" s="83">
        <v>164</v>
      </c>
      <c r="AF253" s="83">
        <v>159</v>
      </c>
      <c r="AG253" s="83">
        <v>155</v>
      </c>
      <c r="AH253" s="83">
        <v>137</v>
      </c>
      <c r="AI253" s="83">
        <v>138</v>
      </c>
      <c r="AJ253" s="83">
        <v>137</v>
      </c>
      <c r="AK253" s="83">
        <v>129</v>
      </c>
      <c r="AL253" s="83">
        <v>123</v>
      </c>
      <c r="AM253" s="83">
        <v>133</v>
      </c>
      <c r="AN253" s="83">
        <v>126</v>
      </c>
      <c r="AO253" s="83">
        <v>117</v>
      </c>
      <c r="AP253" s="83">
        <v>108</v>
      </c>
      <c r="AQ253" s="83">
        <v>121</v>
      </c>
      <c r="AR253" s="83">
        <v>118</v>
      </c>
      <c r="AS253" s="83">
        <v>112</v>
      </c>
      <c r="AT253" s="83">
        <v>108</v>
      </c>
      <c r="AU253" s="83">
        <v>104</v>
      </c>
      <c r="AV253" s="83">
        <v>104</v>
      </c>
      <c r="AW253" s="83">
        <v>103</v>
      </c>
    </row>
    <row r="254" spans="1:49" x14ac:dyDescent="0.15">
      <c r="A254" s="83">
        <v>20200625</v>
      </c>
      <c r="B254" s="83">
        <v>76</v>
      </c>
      <c r="C254" s="83">
        <v>55</v>
      </c>
      <c r="D254" s="83">
        <v>57</v>
      </c>
      <c r="E254" s="83">
        <v>52</v>
      </c>
      <c r="F254" s="83">
        <v>51</v>
      </c>
      <c r="G254" s="83">
        <v>57</v>
      </c>
      <c r="H254" s="83">
        <v>55</v>
      </c>
      <c r="I254" s="83">
        <v>55</v>
      </c>
      <c r="J254" s="83">
        <v>51</v>
      </c>
      <c r="K254" s="83">
        <v>51</v>
      </c>
      <c r="L254" s="83">
        <v>49</v>
      </c>
      <c r="M254" s="83">
        <v>76</v>
      </c>
      <c r="N254" s="83">
        <v>92</v>
      </c>
      <c r="O254" s="83">
        <v>97</v>
      </c>
      <c r="P254" s="83">
        <v>119</v>
      </c>
      <c r="Q254" s="83">
        <v>124</v>
      </c>
      <c r="R254" s="83">
        <v>124</v>
      </c>
      <c r="S254" s="83">
        <v>146</v>
      </c>
      <c r="T254" s="83">
        <v>153</v>
      </c>
      <c r="U254" s="83">
        <v>152</v>
      </c>
      <c r="V254" s="83">
        <v>145</v>
      </c>
      <c r="W254" s="83">
        <v>145</v>
      </c>
      <c r="X254" s="83">
        <v>144</v>
      </c>
      <c r="Y254" s="83">
        <v>147</v>
      </c>
      <c r="Z254" s="83">
        <v>143</v>
      </c>
      <c r="AA254" s="83">
        <v>152</v>
      </c>
      <c r="AB254" s="83">
        <v>148</v>
      </c>
      <c r="AC254" s="83">
        <v>148</v>
      </c>
      <c r="AD254" s="83">
        <v>142</v>
      </c>
      <c r="AE254" s="83">
        <v>154</v>
      </c>
      <c r="AF254" s="83">
        <v>152</v>
      </c>
      <c r="AG254" s="83">
        <v>147</v>
      </c>
      <c r="AH254" s="83">
        <v>141</v>
      </c>
      <c r="AI254" s="83">
        <v>137</v>
      </c>
      <c r="AJ254" s="83">
        <v>136</v>
      </c>
      <c r="AK254" s="83">
        <v>135</v>
      </c>
      <c r="AL254" s="83">
        <v>122</v>
      </c>
      <c r="AM254" s="83">
        <v>133</v>
      </c>
      <c r="AN254" s="83">
        <v>133</v>
      </c>
      <c r="AO254" s="83">
        <v>133</v>
      </c>
      <c r="AP254" s="83">
        <v>119</v>
      </c>
      <c r="AQ254" s="83">
        <v>134</v>
      </c>
      <c r="AR254" s="83">
        <v>122</v>
      </c>
      <c r="AS254" s="83">
        <v>116</v>
      </c>
      <c r="AT254" s="83">
        <v>108</v>
      </c>
      <c r="AU254" s="83">
        <v>107</v>
      </c>
      <c r="AV254" s="83">
        <v>101</v>
      </c>
      <c r="AW254" s="83">
        <v>103</v>
      </c>
    </row>
    <row r="255" spans="1:49" x14ac:dyDescent="0.15">
      <c r="A255" s="83">
        <v>20200626</v>
      </c>
      <c r="B255" s="83">
        <v>70</v>
      </c>
      <c r="C255" s="83">
        <v>55</v>
      </c>
      <c r="D255" s="83">
        <v>55</v>
      </c>
      <c r="E255" s="83">
        <v>52</v>
      </c>
      <c r="F255" s="83">
        <v>48</v>
      </c>
      <c r="G255" s="83">
        <v>56</v>
      </c>
      <c r="H255" s="83">
        <v>55</v>
      </c>
      <c r="I255" s="83">
        <v>53</v>
      </c>
      <c r="J255" s="83">
        <v>51</v>
      </c>
      <c r="K255" s="83">
        <v>51</v>
      </c>
      <c r="L255" s="83">
        <v>52</v>
      </c>
      <c r="M255" s="83">
        <v>87</v>
      </c>
      <c r="N255" s="83">
        <v>89</v>
      </c>
      <c r="O255" s="83">
        <v>96</v>
      </c>
      <c r="P255" s="83">
        <v>114</v>
      </c>
      <c r="Q255" s="83">
        <v>120</v>
      </c>
      <c r="R255" s="83">
        <v>117</v>
      </c>
      <c r="S255" s="83">
        <v>140</v>
      </c>
      <c r="T255" s="83">
        <v>151</v>
      </c>
      <c r="U255" s="83">
        <v>147</v>
      </c>
      <c r="V255" s="83">
        <v>142</v>
      </c>
      <c r="W255" s="83">
        <v>149</v>
      </c>
      <c r="X255" s="83">
        <v>144</v>
      </c>
      <c r="Y255" s="83">
        <v>142</v>
      </c>
      <c r="Z255" s="83">
        <v>139</v>
      </c>
      <c r="AA255" s="83">
        <v>150</v>
      </c>
      <c r="AB255" s="83">
        <v>144</v>
      </c>
      <c r="AC255" s="83">
        <v>141</v>
      </c>
      <c r="AD255" s="83">
        <v>130</v>
      </c>
      <c r="AE255" s="83">
        <v>143</v>
      </c>
      <c r="AF255" s="83">
        <v>140</v>
      </c>
      <c r="AG255" s="83">
        <v>138</v>
      </c>
      <c r="AH255" s="83">
        <v>135</v>
      </c>
      <c r="AI255" s="83">
        <v>132</v>
      </c>
      <c r="AJ255" s="83">
        <v>131</v>
      </c>
      <c r="AK255" s="83">
        <v>130</v>
      </c>
      <c r="AL255" s="83">
        <v>117</v>
      </c>
      <c r="AM255" s="83">
        <v>128</v>
      </c>
      <c r="AN255" s="83">
        <v>120</v>
      </c>
      <c r="AO255" s="83">
        <v>118</v>
      </c>
      <c r="AP255" s="83">
        <v>113</v>
      </c>
      <c r="AQ255" s="83">
        <v>126</v>
      </c>
      <c r="AR255" s="83">
        <v>121</v>
      </c>
      <c r="AS255" s="83">
        <v>118</v>
      </c>
      <c r="AT255" s="83">
        <v>113</v>
      </c>
      <c r="AU255" s="83">
        <v>111</v>
      </c>
      <c r="AV255" s="83">
        <v>107</v>
      </c>
      <c r="AW255" s="83">
        <v>105</v>
      </c>
    </row>
    <row r="256" spans="1:49" x14ac:dyDescent="0.15">
      <c r="A256" s="83">
        <v>20200627</v>
      </c>
      <c r="B256" s="83">
        <v>76</v>
      </c>
      <c r="C256" s="83">
        <v>57</v>
      </c>
      <c r="D256" s="83">
        <v>54</v>
      </c>
      <c r="E256" s="83">
        <v>55</v>
      </c>
      <c r="F256" s="83">
        <v>50</v>
      </c>
      <c r="G256" s="83">
        <v>56</v>
      </c>
      <c r="H256" s="83">
        <v>55</v>
      </c>
      <c r="I256" s="83">
        <v>55</v>
      </c>
      <c r="J256" s="83">
        <v>50</v>
      </c>
      <c r="K256" s="83">
        <v>51</v>
      </c>
      <c r="L256" s="83">
        <v>51</v>
      </c>
      <c r="M256" s="83">
        <v>62</v>
      </c>
      <c r="N256" s="83">
        <v>109</v>
      </c>
      <c r="O256" s="83">
        <v>99</v>
      </c>
      <c r="P256" s="83">
        <v>120</v>
      </c>
      <c r="Q256" s="83">
        <v>122</v>
      </c>
      <c r="R256" s="83">
        <v>129</v>
      </c>
      <c r="S256" s="83">
        <v>147</v>
      </c>
      <c r="T256" s="83">
        <v>166</v>
      </c>
      <c r="U256" s="83">
        <v>155</v>
      </c>
      <c r="V256" s="83">
        <v>160</v>
      </c>
      <c r="W256" s="83">
        <v>162</v>
      </c>
      <c r="X256" s="83">
        <v>162</v>
      </c>
      <c r="Y256" s="83">
        <v>163</v>
      </c>
      <c r="Z256" s="83">
        <v>153</v>
      </c>
      <c r="AA256" s="83">
        <v>165</v>
      </c>
      <c r="AB256" s="83">
        <v>162</v>
      </c>
      <c r="AC256" s="83">
        <v>158</v>
      </c>
      <c r="AD256" s="83">
        <v>150</v>
      </c>
      <c r="AE256" s="83">
        <v>164</v>
      </c>
      <c r="AF256" s="83">
        <v>166</v>
      </c>
      <c r="AG256" s="83">
        <v>153</v>
      </c>
      <c r="AH256" s="83">
        <v>150</v>
      </c>
      <c r="AI256" s="83">
        <v>147</v>
      </c>
      <c r="AJ256" s="83">
        <v>139</v>
      </c>
      <c r="AK256" s="83">
        <v>136</v>
      </c>
      <c r="AL256" s="83">
        <v>122</v>
      </c>
      <c r="AM256" s="83">
        <v>139</v>
      </c>
      <c r="AN256" s="83">
        <v>128</v>
      </c>
      <c r="AO256" s="83">
        <v>123</v>
      </c>
      <c r="AP256" s="83">
        <v>118</v>
      </c>
      <c r="AQ256" s="83">
        <v>127</v>
      </c>
      <c r="AR256" s="83">
        <v>122</v>
      </c>
      <c r="AS256" s="83">
        <v>114</v>
      </c>
      <c r="AT256" s="83">
        <v>112</v>
      </c>
      <c r="AU256" s="83">
        <v>109</v>
      </c>
      <c r="AV256" s="83">
        <v>102</v>
      </c>
      <c r="AW256" s="83">
        <v>100</v>
      </c>
    </row>
    <row r="257" spans="1:49" x14ac:dyDescent="0.15">
      <c r="A257" s="83">
        <v>20200628</v>
      </c>
      <c r="B257" s="83">
        <v>72</v>
      </c>
      <c r="C257" s="83">
        <v>56</v>
      </c>
      <c r="D257" s="83">
        <v>56</v>
      </c>
      <c r="E257" s="83">
        <v>51</v>
      </c>
      <c r="F257" s="83">
        <v>49</v>
      </c>
      <c r="G257" s="83">
        <v>56</v>
      </c>
      <c r="H257" s="83">
        <v>53</v>
      </c>
      <c r="I257" s="83">
        <v>54</v>
      </c>
      <c r="J257" s="83">
        <v>51</v>
      </c>
      <c r="K257" s="83">
        <v>47</v>
      </c>
      <c r="L257" s="83">
        <v>50</v>
      </c>
      <c r="M257" s="83">
        <v>68</v>
      </c>
      <c r="N257" s="83">
        <v>99</v>
      </c>
      <c r="O257" s="83">
        <v>100</v>
      </c>
      <c r="P257" s="83">
        <v>112</v>
      </c>
      <c r="Q257" s="83">
        <v>118</v>
      </c>
      <c r="R257" s="83">
        <v>117</v>
      </c>
      <c r="S257" s="83">
        <v>138</v>
      </c>
      <c r="T257" s="83">
        <v>144</v>
      </c>
      <c r="U257" s="83">
        <v>139</v>
      </c>
      <c r="V257" s="83">
        <v>141</v>
      </c>
      <c r="W257" s="83">
        <v>139</v>
      </c>
      <c r="X257" s="83">
        <v>146</v>
      </c>
      <c r="Y257" s="83">
        <v>151</v>
      </c>
      <c r="Z257" s="83">
        <v>145</v>
      </c>
      <c r="AA257" s="83">
        <v>155</v>
      </c>
      <c r="AB257" s="83">
        <v>154</v>
      </c>
      <c r="AC257" s="83">
        <v>152</v>
      </c>
      <c r="AD257" s="83">
        <v>138</v>
      </c>
      <c r="AE257" s="83">
        <v>149</v>
      </c>
      <c r="AF257" s="83">
        <v>147</v>
      </c>
      <c r="AG257" s="83">
        <v>141</v>
      </c>
      <c r="AH257" s="83">
        <v>138</v>
      </c>
      <c r="AI257" s="83">
        <v>131</v>
      </c>
      <c r="AJ257" s="83">
        <v>127</v>
      </c>
      <c r="AK257" s="83">
        <v>128</v>
      </c>
      <c r="AL257" s="83">
        <v>113</v>
      </c>
      <c r="AM257" s="83">
        <v>123</v>
      </c>
      <c r="AN257" s="83">
        <v>121</v>
      </c>
      <c r="AO257" s="83">
        <v>115</v>
      </c>
      <c r="AP257" s="83">
        <v>109</v>
      </c>
      <c r="AQ257" s="83">
        <v>123</v>
      </c>
      <c r="AR257" s="83">
        <v>117</v>
      </c>
      <c r="AS257" s="83">
        <v>105</v>
      </c>
      <c r="AT257" s="83">
        <v>100</v>
      </c>
      <c r="AU257" s="83">
        <v>97</v>
      </c>
      <c r="AV257" s="83">
        <v>96</v>
      </c>
      <c r="AW257" s="83">
        <v>94</v>
      </c>
    </row>
    <row r="258" spans="1:49" x14ac:dyDescent="0.15">
      <c r="A258" s="83">
        <v>20200629</v>
      </c>
      <c r="B258" s="83">
        <v>71</v>
      </c>
      <c r="C258" s="83">
        <v>53</v>
      </c>
      <c r="D258" s="83">
        <v>52</v>
      </c>
      <c r="E258" s="83">
        <v>49</v>
      </c>
      <c r="F258" s="83">
        <v>48</v>
      </c>
      <c r="G258" s="83">
        <v>52</v>
      </c>
      <c r="H258" s="83">
        <v>52</v>
      </c>
      <c r="I258" s="83">
        <v>51</v>
      </c>
      <c r="J258" s="83">
        <v>48</v>
      </c>
      <c r="K258" s="83">
        <v>48</v>
      </c>
      <c r="L258" s="83">
        <v>47</v>
      </c>
      <c r="M258" s="83">
        <v>61</v>
      </c>
      <c r="N258" s="83">
        <v>102</v>
      </c>
      <c r="O258" s="83">
        <v>93</v>
      </c>
      <c r="P258" s="83">
        <v>104</v>
      </c>
      <c r="Q258" s="83">
        <v>111</v>
      </c>
      <c r="R258" s="83">
        <v>119</v>
      </c>
      <c r="S258" s="83">
        <v>137</v>
      </c>
      <c r="T258" s="83">
        <v>134</v>
      </c>
      <c r="U258" s="83">
        <v>138</v>
      </c>
      <c r="V258" s="83">
        <v>136</v>
      </c>
      <c r="W258" s="83">
        <v>137</v>
      </c>
      <c r="X258" s="83">
        <v>132</v>
      </c>
      <c r="Y258" s="83">
        <v>140</v>
      </c>
      <c r="Z258" s="83">
        <v>136</v>
      </c>
      <c r="AA258" s="83">
        <v>141</v>
      </c>
      <c r="AB258" s="83">
        <v>144</v>
      </c>
      <c r="AC258" s="83">
        <v>140</v>
      </c>
      <c r="AD258" s="83">
        <v>127</v>
      </c>
      <c r="AE258" s="83">
        <v>142</v>
      </c>
      <c r="AF258" s="83">
        <v>137</v>
      </c>
      <c r="AG258" s="83">
        <v>138</v>
      </c>
      <c r="AH258" s="83">
        <v>130</v>
      </c>
      <c r="AI258" s="83">
        <v>128</v>
      </c>
      <c r="AJ258" s="83">
        <v>124</v>
      </c>
      <c r="AK258" s="83">
        <v>124</v>
      </c>
      <c r="AL258" s="83">
        <v>112</v>
      </c>
      <c r="AM258" s="83">
        <v>122</v>
      </c>
      <c r="AN258" s="83">
        <v>117</v>
      </c>
      <c r="AO258" s="83">
        <v>116</v>
      </c>
      <c r="AP258" s="83">
        <v>108</v>
      </c>
      <c r="AQ258" s="83">
        <v>117</v>
      </c>
      <c r="AR258" s="83">
        <v>113</v>
      </c>
      <c r="AS258" s="83">
        <v>104</v>
      </c>
      <c r="AT258" s="83">
        <v>101</v>
      </c>
      <c r="AU258" s="83">
        <v>99</v>
      </c>
      <c r="AV258" s="83">
        <v>95</v>
      </c>
      <c r="AW258" s="83">
        <v>94</v>
      </c>
    </row>
    <row r="259" spans="1:49" x14ac:dyDescent="0.15">
      <c r="A259" s="83">
        <v>20200630</v>
      </c>
      <c r="B259" s="83">
        <v>67</v>
      </c>
      <c r="C259" s="83">
        <v>52</v>
      </c>
      <c r="D259" s="83">
        <v>52</v>
      </c>
      <c r="E259" s="83">
        <v>48</v>
      </c>
      <c r="F259" s="83">
        <v>47</v>
      </c>
      <c r="G259" s="83">
        <v>53</v>
      </c>
      <c r="H259" s="83">
        <v>52</v>
      </c>
      <c r="I259" s="83">
        <v>49</v>
      </c>
      <c r="J259" s="83">
        <v>48</v>
      </c>
      <c r="K259" s="83">
        <v>46</v>
      </c>
      <c r="L259" s="83">
        <v>46</v>
      </c>
      <c r="M259" s="83">
        <v>69</v>
      </c>
      <c r="N259" s="83">
        <v>89</v>
      </c>
      <c r="O259" s="83">
        <v>96</v>
      </c>
      <c r="P259" s="83">
        <v>114</v>
      </c>
      <c r="Q259" s="83">
        <v>117</v>
      </c>
      <c r="R259" s="83">
        <v>116</v>
      </c>
      <c r="S259" s="83">
        <v>142</v>
      </c>
      <c r="T259" s="83">
        <v>144</v>
      </c>
      <c r="U259" s="83">
        <v>142</v>
      </c>
      <c r="V259" s="83">
        <v>140</v>
      </c>
      <c r="W259" s="83">
        <v>141</v>
      </c>
      <c r="X259" s="83">
        <v>139</v>
      </c>
      <c r="Y259" s="83">
        <v>141</v>
      </c>
      <c r="Z259" s="83">
        <v>132</v>
      </c>
      <c r="AA259" s="83">
        <v>143</v>
      </c>
      <c r="AB259" s="83">
        <v>135</v>
      </c>
      <c r="AC259" s="83">
        <v>135</v>
      </c>
      <c r="AD259" s="83">
        <v>120</v>
      </c>
      <c r="AE259" s="83">
        <v>133</v>
      </c>
      <c r="AF259" s="83">
        <v>133</v>
      </c>
      <c r="AG259" s="83">
        <v>131</v>
      </c>
      <c r="AH259" s="83">
        <v>124</v>
      </c>
      <c r="AI259" s="83">
        <v>122</v>
      </c>
      <c r="AJ259" s="83">
        <v>119</v>
      </c>
      <c r="AK259" s="83">
        <v>119</v>
      </c>
      <c r="AL259" s="83">
        <v>108</v>
      </c>
      <c r="AM259" s="83">
        <v>129</v>
      </c>
      <c r="AN259" s="83">
        <v>119</v>
      </c>
      <c r="AO259" s="83">
        <v>123</v>
      </c>
      <c r="AP259" s="83">
        <v>109</v>
      </c>
      <c r="AQ259" s="83">
        <v>117</v>
      </c>
      <c r="AR259" s="83">
        <v>115</v>
      </c>
      <c r="AS259" s="83">
        <v>110</v>
      </c>
      <c r="AT259" s="83">
        <v>106</v>
      </c>
      <c r="AU259" s="83">
        <v>103</v>
      </c>
      <c r="AV259" s="83">
        <v>98</v>
      </c>
      <c r="AW259" s="83">
        <v>101</v>
      </c>
    </row>
    <row r="260" spans="1:49" x14ac:dyDescent="0.15">
      <c r="A260" s="72"/>
      <c r="B260" s="65">
        <f t="shared" ref="B260:AW260" si="9">AVERAGE(B229:B259)</f>
        <v>70.244016649323626</v>
      </c>
      <c r="C260" s="65">
        <f t="shared" si="9"/>
        <v>53.06666666666667</v>
      </c>
      <c r="D260" s="65">
        <f t="shared" si="9"/>
        <v>52.661290322580648</v>
      </c>
      <c r="E260" s="65">
        <f t="shared" si="9"/>
        <v>49.633333333333333</v>
      </c>
      <c r="F260" s="65">
        <f t="shared" si="9"/>
        <v>47.312174817898025</v>
      </c>
      <c r="G260" s="65">
        <f t="shared" si="9"/>
        <v>53.466666666666669</v>
      </c>
      <c r="H260" s="65">
        <f t="shared" si="9"/>
        <v>51.973465140478673</v>
      </c>
      <c r="I260" s="65">
        <f t="shared" si="9"/>
        <v>50.9</v>
      </c>
      <c r="J260" s="65">
        <f t="shared" si="9"/>
        <v>48.133714880332981</v>
      </c>
      <c r="K260" s="65">
        <f t="shared" si="9"/>
        <v>47.166666666666664</v>
      </c>
      <c r="L260" s="65">
        <f t="shared" si="9"/>
        <v>48.947450572320506</v>
      </c>
      <c r="M260" s="65">
        <f t="shared" si="9"/>
        <v>68.3</v>
      </c>
      <c r="N260" s="65">
        <f t="shared" si="9"/>
        <v>91.998439125910508</v>
      </c>
      <c r="O260" s="65">
        <f t="shared" si="9"/>
        <v>93.36666666666666</v>
      </c>
      <c r="P260" s="65">
        <f t="shared" si="9"/>
        <v>108.87981269510927</v>
      </c>
      <c r="Q260" s="65">
        <f t="shared" si="9"/>
        <v>115.06666666666666</v>
      </c>
      <c r="R260" s="65">
        <f t="shared" si="9"/>
        <v>119.59729448491154</v>
      </c>
      <c r="S260" s="65">
        <f t="shared" si="9"/>
        <v>137.9</v>
      </c>
      <c r="T260" s="65">
        <f t="shared" si="9"/>
        <v>144.61966701352759</v>
      </c>
      <c r="U260" s="65">
        <f t="shared" si="9"/>
        <v>142.5</v>
      </c>
      <c r="V260" s="65">
        <f t="shared" si="9"/>
        <v>140.05046826222684</v>
      </c>
      <c r="W260" s="65">
        <f t="shared" si="9"/>
        <v>141.56666666666666</v>
      </c>
      <c r="X260" s="65">
        <f t="shared" si="9"/>
        <v>142.46097814776275</v>
      </c>
      <c r="Y260" s="65">
        <f t="shared" si="9"/>
        <v>145</v>
      </c>
      <c r="Z260" s="65">
        <f t="shared" si="9"/>
        <v>137.98959417273673</v>
      </c>
      <c r="AA260" s="65">
        <f t="shared" si="9"/>
        <v>147.16666666666666</v>
      </c>
      <c r="AB260" s="65">
        <f t="shared" si="9"/>
        <v>143.72112382934446</v>
      </c>
      <c r="AC260" s="65">
        <f t="shared" si="9"/>
        <v>142.43333333333334</v>
      </c>
      <c r="AD260" s="65">
        <f t="shared" si="9"/>
        <v>132.92403746097813</v>
      </c>
      <c r="AE260" s="65">
        <f t="shared" si="9"/>
        <v>147.83333333333334</v>
      </c>
      <c r="AF260" s="65">
        <f t="shared" si="9"/>
        <v>143.63683662851199</v>
      </c>
      <c r="AG260" s="65">
        <f t="shared" si="9"/>
        <v>139.13333333333333</v>
      </c>
      <c r="AH260" s="65">
        <f t="shared" si="9"/>
        <v>132.92611862643082</v>
      </c>
      <c r="AI260" s="65">
        <f t="shared" si="9"/>
        <v>130.46666666666667</v>
      </c>
      <c r="AJ260" s="65">
        <f t="shared" si="9"/>
        <v>128.31269510926117</v>
      </c>
      <c r="AK260" s="65">
        <f t="shared" si="9"/>
        <v>125.9</v>
      </c>
      <c r="AL260" s="65">
        <f t="shared" si="9"/>
        <v>113.61446409989594</v>
      </c>
      <c r="AM260" s="65">
        <f t="shared" si="9"/>
        <v>125.43333333333334</v>
      </c>
      <c r="AN260" s="65">
        <f t="shared" si="9"/>
        <v>117.73152965660771</v>
      </c>
      <c r="AO260" s="65">
        <f t="shared" si="9"/>
        <v>116.7</v>
      </c>
      <c r="AP260" s="65">
        <f t="shared" si="9"/>
        <v>108.24817898022893</v>
      </c>
      <c r="AQ260" s="65">
        <f t="shared" si="9"/>
        <v>117.43333333333334</v>
      </c>
      <c r="AR260" s="65">
        <f t="shared" si="9"/>
        <v>112.43028095733611</v>
      </c>
      <c r="AS260" s="65">
        <f t="shared" si="9"/>
        <v>106.23333333333333</v>
      </c>
      <c r="AT260" s="65">
        <f t="shared" si="9"/>
        <v>101.44224765868887</v>
      </c>
      <c r="AU260" s="65">
        <f t="shared" si="9"/>
        <v>99.066666666666663</v>
      </c>
      <c r="AV260" s="65">
        <f t="shared" si="9"/>
        <v>96.727367325702389</v>
      </c>
      <c r="AW260" s="65">
        <f t="shared" si="9"/>
        <v>95.7</v>
      </c>
    </row>
    <row r="261" spans="1:49" x14ac:dyDescent="0.15">
      <c r="A261" s="72"/>
      <c r="B261" s="173">
        <f>AVERAGE(B230:C260)</f>
        <v>61.875978763161136</v>
      </c>
      <c r="C261" s="173"/>
      <c r="D261" s="173">
        <f>AVERAGE(D230:E260)</f>
        <v>51.246687478321192</v>
      </c>
      <c r="E261" s="173"/>
      <c r="F261" s="173">
        <f>AVERAGE(F230:G260)</f>
        <v>50.399658733622012</v>
      </c>
      <c r="G261" s="173"/>
      <c r="H261" s="173">
        <f>AVERAGE(H230:I260)</f>
        <v>51.514088147427081</v>
      </c>
      <c r="I261" s="173"/>
      <c r="J261" s="173">
        <f>AVERAGE(J230:K260)</f>
        <v>47.730651315274187</v>
      </c>
      <c r="K261" s="173"/>
      <c r="L261" s="173">
        <f>AVERAGE(L230:M260)</f>
        <v>58.55237823503743</v>
      </c>
      <c r="M261" s="173"/>
      <c r="N261" s="173">
        <f>AVERAGE(N230:O260)</f>
        <v>92.731695254718986</v>
      </c>
      <c r="O261" s="173"/>
      <c r="P261" s="173">
        <f>AVERAGE(P230:Q260)</f>
        <v>112.06365289293187</v>
      </c>
      <c r="Q261" s="173"/>
      <c r="R261" s="173">
        <f>AVERAGE(R230:S260)</f>
        <v>128.81447249169213</v>
      </c>
      <c r="S261" s="173"/>
      <c r="T261" s="173">
        <f>AVERAGE(T230:U260)</f>
        <v>143.82451075828268</v>
      </c>
      <c r="U261" s="173"/>
      <c r="V261" s="173">
        <f>AVERAGE(V230:W260)</f>
        <v>141.05834088594992</v>
      </c>
      <c r="W261" s="173"/>
      <c r="X261" s="173">
        <f>AVERAGE(X230:Y260)</f>
        <v>143.95904803464134</v>
      </c>
      <c r="Y261" s="173"/>
      <c r="Z261" s="173">
        <f>AVERAGE(Z230:AA260)</f>
        <v>142.7283267877323</v>
      </c>
      <c r="AA261" s="173"/>
      <c r="AB261" s="173">
        <f>AVERAGE(AB230:AC260)</f>
        <v>143.32507188972059</v>
      </c>
      <c r="AC261" s="173"/>
      <c r="AD261" s="173">
        <f>AVERAGE(AD230:AE260)</f>
        <v>140.4960866257147</v>
      </c>
      <c r="AE261" s="173"/>
      <c r="AF261" s="173">
        <f>AVERAGE(AF230:AG260)</f>
        <v>141.67371241873943</v>
      </c>
      <c r="AG261" s="173"/>
      <c r="AH261" s="173">
        <f>AVERAGE(AH230:AI260)</f>
        <v>131.95794814988867</v>
      </c>
      <c r="AI261" s="173"/>
      <c r="AJ261" s="173">
        <f>AVERAGE(AJ230:AK260)</f>
        <v>127.39052734047195</v>
      </c>
      <c r="AK261" s="173"/>
      <c r="AL261" s="173">
        <f>AVERAGE(AL230:AM260)</f>
        <v>119.64593221666499</v>
      </c>
      <c r="AM261" s="173"/>
      <c r="AN261" s="173">
        <f>AVERAGE(AN230:AO260)</f>
        <v>117.45857305897754</v>
      </c>
      <c r="AO261" s="173"/>
      <c r="AP261" s="173">
        <f>AVERAGE(AP230:AQ260)</f>
        <v>112.96260503731551</v>
      </c>
      <c r="AQ261" s="173"/>
      <c r="AR261" s="173">
        <f>AVERAGE(AR230:AS260)</f>
        <v>109.55909055307532</v>
      </c>
      <c r="AS261" s="173"/>
      <c r="AT261" s="173">
        <f>AVERAGE(AT230:AU260)</f>
        <v>100.42756313427992</v>
      </c>
      <c r="AU261" s="173"/>
      <c r="AV261" s="173">
        <f>AVERAGE(AV230:AW260)</f>
        <v>96.37786076331777</v>
      </c>
      <c r="AW261" s="173"/>
    </row>
    <row r="262" spans="1:49" x14ac:dyDescent="0.15">
      <c r="A262" s="83">
        <v>20200701</v>
      </c>
      <c r="B262" s="83">
        <v>75</v>
      </c>
      <c r="C262" s="83">
        <v>57</v>
      </c>
      <c r="D262" s="83">
        <v>54</v>
      </c>
      <c r="E262" s="83">
        <v>51</v>
      </c>
      <c r="F262" s="83">
        <v>48</v>
      </c>
      <c r="G262" s="83">
        <v>52</v>
      </c>
      <c r="H262" s="83">
        <v>52</v>
      </c>
      <c r="I262" s="83">
        <v>52</v>
      </c>
      <c r="J262" s="83">
        <v>51</v>
      </c>
      <c r="K262" s="83">
        <v>52</v>
      </c>
      <c r="L262" s="83">
        <v>52</v>
      </c>
      <c r="M262" s="83">
        <v>72</v>
      </c>
      <c r="N262" s="83">
        <v>95</v>
      </c>
      <c r="O262" s="83">
        <v>97</v>
      </c>
      <c r="P262" s="83">
        <v>110</v>
      </c>
      <c r="Q262" s="83">
        <v>119</v>
      </c>
      <c r="R262" s="83">
        <v>128</v>
      </c>
      <c r="S262" s="83">
        <v>137</v>
      </c>
      <c r="T262" s="83">
        <v>150</v>
      </c>
      <c r="U262" s="83">
        <v>152</v>
      </c>
      <c r="V262" s="83">
        <v>148</v>
      </c>
      <c r="W262" s="83">
        <v>144</v>
      </c>
      <c r="X262" s="83">
        <v>149</v>
      </c>
      <c r="Y262" s="83">
        <v>153</v>
      </c>
      <c r="Z262" s="83">
        <v>152</v>
      </c>
      <c r="AA262" s="83">
        <v>157</v>
      </c>
      <c r="AB262" s="83">
        <v>153</v>
      </c>
      <c r="AC262" s="83">
        <v>152</v>
      </c>
      <c r="AD262" s="83">
        <v>144</v>
      </c>
      <c r="AE262" s="83">
        <v>150</v>
      </c>
      <c r="AF262" s="83">
        <v>143</v>
      </c>
      <c r="AG262" s="83">
        <v>136</v>
      </c>
      <c r="AH262" s="83">
        <v>128</v>
      </c>
      <c r="AI262" s="83">
        <v>126</v>
      </c>
      <c r="AJ262" s="83">
        <v>124</v>
      </c>
      <c r="AK262" s="83">
        <v>127</v>
      </c>
      <c r="AL262" s="83">
        <v>115</v>
      </c>
      <c r="AM262" s="83">
        <v>125</v>
      </c>
      <c r="AN262" s="83">
        <v>120</v>
      </c>
      <c r="AO262" s="83">
        <v>118</v>
      </c>
      <c r="AP262" s="83">
        <v>106</v>
      </c>
      <c r="AQ262" s="83">
        <v>119</v>
      </c>
      <c r="AR262" s="83">
        <v>117</v>
      </c>
      <c r="AS262" s="83">
        <v>107</v>
      </c>
      <c r="AT262" s="83">
        <v>103</v>
      </c>
      <c r="AU262" s="83">
        <v>104</v>
      </c>
      <c r="AV262" s="83">
        <v>100</v>
      </c>
      <c r="AW262" s="83">
        <v>99</v>
      </c>
    </row>
    <row r="263" spans="1:49" x14ac:dyDescent="0.15">
      <c r="A263" s="83">
        <v>20200702</v>
      </c>
      <c r="B263" s="83">
        <v>81</v>
      </c>
      <c r="C263" s="83">
        <v>58</v>
      </c>
      <c r="D263" s="83">
        <v>58</v>
      </c>
      <c r="E263" s="83">
        <v>54</v>
      </c>
      <c r="F263" s="83">
        <v>50</v>
      </c>
      <c r="G263" s="83">
        <v>56</v>
      </c>
      <c r="H263" s="83">
        <v>56</v>
      </c>
      <c r="I263" s="83">
        <v>54</v>
      </c>
      <c r="J263" s="83">
        <v>52</v>
      </c>
      <c r="K263" s="83">
        <v>51</v>
      </c>
      <c r="L263" s="83">
        <v>50</v>
      </c>
      <c r="M263" s="83">
        <v>62</v>
      </c>
      <c r="N263" s="83">
        <v>104</v>
      </c>
      <c r="O263" s="83">
        <v>101</v>
      </c>
      <c r="P263" s="83">
        <v>114</v>
      </c>
      <c r="Q263" s="83">
        <v>118</v>
      </c>
      <c r="R263" s="83">
        <v>117</v>
      </c>
      <c r="S263" s="83">
        <v>135</v>
      </c>
      <c r="T263" s="83">
        <v>147</v>
      </c>
      <c r="U263" s="83">
        <v>147</v>
      </c>
      <c r="V263" s="83">
        <v>142</v>
      </c>
      <c r="W263" s="83">
        <v>139</v>
      </c>
      <c r="X263" s="83">
        <v>145</v>
      </c>
      <c r="Y263" s="83">
        <v>149</v>
      </c>
      <c r="Z263" s="83">
        <v>145</v>
      </c>
      <c r="AA263" s="83">
        <v>149</v>
      </c>
      <c r="AB263" s="83">
        <v>145</v>
      </c>
      <c r="AC263" s="83">
        <v>144</v>
      </c>
      <c r="AD263" s="83">
        <v>136</v>
      </c>
      <c r="AE263" s="83">
        <v>143</v>
      </c>
      <c r="AF263" s="83">
        <v>135</v>
      </c>
      <c r="AG263" s="83">
        <v>134</v>
      </c>
      <c r="AH263" s="83">
        <v>126</v>
      </c>
      <c r="AI263" s="83">
        <v>121</v>
      </c>
      <c r="AJ263" s="83">
        <v>122</v>
      </c>
      <c r="AK263" s="83">
        <v>117</v>
      </c>
      <c r="AL263" s="83">
        <v>109</v>
      </c>
      <c r="AM263" s="83">
        <v>128</v>
      </c>
      <c r="AN263" s="83">
        <v>118</v>
      </c>
      <c r="AO263" s="83">
        <v>116</v>
      </c>
      <c r="AP263" s="83">
        <v>106</v>
      </c>
      <c r="AQ263" s="83">
        <v>118</v>
      </c>
      <c r="AR263" s="83">
        <v>115</v>
      </c>
      <c r="AS263" s="83">
        <v>107</v>
      </c>
      <c r="AT263" s="83">
        <v>102</v>
      </c>
      <c r="AU263" s="83">
        <v>101</v>
      </c>
      <c r="AV263" s="83">
        <v>99</v>
      </c>
      <c r="AW263" s="83">
        <v>96</v>
      </c>
    </row>
    <row r="264" spans="1:49" x14ac:dyDescent="0.15">
      <c r="A264" s="83">
        <v>20200703</v>
      </c>
      <c r="B264" s="83">
        <v>68</v>
      </c>
      <c r="C264" s="83">
        <v>53</v>
      </c>
      <c r="D264" s="83">
        <v>53</v>
      </c>
      <c r="E264" s="83">
        <v>50</v>
      </c>
      <c r="F264" s="83">
        <v>49</v>
      </c>
      <c r="G264" s="83">
        <v>55</v>
      </c>
      <c r="H264" s="83">
        <v>54</v>
      </c>
      <c r="I264" s="83">
        <v>51</v>
      </c>
      <c r="J264" s="83">
        <v>48</v>
      </c>
      <c r="K264" s="83">
        <v>47</v>
      </c>
      <c r="L264" s="83">
        <v>48</v>
      </c>
      <c r="M264" s="83">
        <v>76</v>
      </c>
      <c r="N264" s="83">
        <v>89</v>
      </c>
      <c r="O264" s="83">
        <v>93</v>
      </c>
      <c r="P264" s="83">
        <v>110</v>
      </c>
      <c r="Q264" s="83">
        <v>117</v>
      </c>
      <c r="R264" s="83">
        <v>119</v>
      </c>
      <c r="S264" s="83">
        <v>136</v>
      </c>
      <c r="T264" s="83">
        <v>147</v>
      </c>
      <c r="U264" s="83">
        <v>148</v>
      </c>
      <c r="V264" s="83">
        <v>141</v>
      </c>
      <c r="W264" s="83">
        <v>146</v>
      </c>
      <c r="X264" s="83">
        <v>142</v>
      </c>
      <c r="Y264" s="83">
        <v>150</v>
      </c>
      <c r="Z264" s="83">
        <v>136</v>
      </c>
      <c r="AA264" s="83">
        <v>153</v>
      </c>
      <c r="AB264" s="83">
        <v>151</v>
      </c>
      <c r="AC264" s="83">
        <v>149</v>
      </c>
      <c r="AD264" s="83">
        <v>131</v>
      </c>
      <c r="AE264" s="83">
        <v>151</v>
      </c>
      <c r="AF264" s="83">
        <v>144</v>
      </c>
      <c r="AG264" s="83">
        <v>141</v>
      </c>
      <c r="AH264" s="83">
        <v>137</v>
      </c>
      <c r="AI264" s="83">
        <v>136</v>
      </c>
      <c r="AJ264" s="83">
        <v>125</v>
      </c>
      <c r="AK264" s="83">
        <v>123</v>
      </c>
      <c r="AL264" s="83">
        <v>115</v>
      </c>
      <c r="AM264" s="83">
        <v>130</v>
      </c>
      <c r="AN264" s="83">
        <v>122</v>
      </c>
      <c r="AO264" s="83">
        <v>119</v>
      </c>
      <c r="AP264" s="83">
        <v>107</v>
      </c>
      <c r="AQ264" s="83">
        <v>121</v>
      </c>
      <c r="AR264" s="83">
        <v>119</v>
      </c>
      <c r="AS264" s="83">
        <v>114</v>
      </c>
      <c r="AT264" s="83">
        <v>107</v>
      </c>
      <c r="AU264" s="83">
        <v>106</v>
      </c>
      <c r="AV264" s="83">
        <v>102</v>
      </c>
      <c r="AW264" s="83">
        <v>102</v>
      </c>
    </row>
    <row r="265" spans="1:49" x14ac:dyDescent="0.15">
      <c r="A265" s="83">
        <v>20200704</v>
      </c>
      <c r="B265" s="83">
        <v>77</v>
      </c>
      <c r="C265" s="83">
        <v>56</v>
      </c>
      <c r="D265" s="83">
        <v>55</v>
      </c>
      <c r="E265" s="83">
        <v>52</v>
      </c>
      <c r="F265" s="83">
        <v>48</v>
      </c>
      <c r="G265" s="83">
        <v>55</v>
      </c>
      <c r="H265" s="83">
        <v>54</v>
      </c>
      <c r="I265" s="83">
        <v>51</v>
      </c>
      <c r="J265" s="83">
        <v>49</v>
      </c>
      <c r="K265" s="83">
        <v>48</v>
      </c>
      <c r="L265" s="83">
        <v>48</v>
      </c>
      <c r="M265" s="83">
        <v>65</v>
      </c>
      <c r="N265" s="83">
        <v>102</v>
      </c>
      <c r="O265" s="83">
        <v>105</v>
      </c>
      <c r="P265" s="83">
        <v>112</v>
      </c>
      <c r="Q265" s="83">
        <v>117</v>
      </c>
      <c r="R265" s="83">
        <v>120</v>
      </c>
      <c r="S265" s="83">
        <v>140</v>
      </c>
      <c r="T265" s="83">
        <v>153</v>
      </c>
      <c r="U265" s="83">
        <v>144</v>
      </c>
      <c r="V265" s="83">
        <v>137</v>
      </c>
      <c r="W265" s="83">
        <v>134</v>
      </c>
      <c r="X265" s="83">
        <v>137</v>
      </c>
      <c r="Y265" s="83">
        <v>139</v>
      </c>
      <c r="Z265" s="83">
        <v>132</v>
      </c>
      <c r="AA265" s="83">
        <v>145</v>
      </c>
      <c r="AB265" s="83">
        <v>147</v>
      </c>
      <c r="AC265" s="83">
        <v>140</v>
      </c>
      <c r="AD265" s="83">
        <v>134</v>
      </c>
      <c r="AE265" s="83">
        <v>146</v>
      </c>
      <c r="AF265" s="83">
        <v>131</v>
      </c>
      <c r="AG265" s="83">
        <v>134</v>
      </c>
      <c r="AH265" s="83">
        <v>122</v>
      </c>
      <c r="AI265" s="83">
        <v>116</v>
      </c>
      <c r="AJ265" s="83">
        <v>120</v>
      </c>
      <c r="AK265" s="83">
        <v>117</v>
      </c>
      <c r="AL265" s="83">
        <v>107</v>
      </c>
      <c r="AM265" s="83">
        <v>124</v>
      </c>
      <c r="AN265" s="83">
        <v>114</v>
      </c>
      <c r="AO265" s="83">
        <v>119</v>
      </c>
      <c r="AP265" s="83">
        <v>107</v>
      </c>
      <c r="AQ265" s="83">
        <v>117</v>
      </c>
      <c r="AR265" s="83">
        <v>115</v>
      </c>
      <c r="AS265" s="83">
        <v>110</v>
      </c>
      <c r="AT265" s="83">
        <v>105</v>
      </c>
      <c r="AU265" s="83">
        <v>103</v>
      </c>
      <c r="AV265" s="83">
        <v>103</v>
      </c>
      <c r="AW265" s="83">
        <v>98</v>
      </c>
    </row>
    <row r="266" spans="1:49" x14ac:dyDescent="0.15">
      <c r="A266" s="83">
        <v>20200705</v>
      </c>
      <c r="B266" s="83">
        <v>70</v>
      </c>
      <c r="C266" s="83">
        <v>56</v>
      </c>
      <c r="D266" s="83">
        <v>54</v>
      </c>
      <c r="E266" s="83">
        <v>51</v>
      </c>
      <c r="F266" s="83">
        <v>49</v>
      </c>
      <c r="G266" s="83">
        <v>56</v>
      </c>
      <c r="H266" s="83">
        <v>52</v>
      </c>
      <c r="I266" s="83">
        <v>52</v>
      </c>
      <c r="J266" s="83">
        <v>49</v>
      </c>
      <c r="K266" s="83">
        <v>49</v>
      </c>
      <c r="L266" s="83">
        <v>50</v>
      </c>
      <c r="M266" s="83">
        <v>75</v>
      </c>
      <c r="N266" s="83">
        <v>94</v>
      </c>
      <c r="O266" s="83">
        <v>97</v>
      </c>
      <c r="P266" s="83">
        <v>115</v>
      </c>
      <c r="Q266" s="83">
        <v>121</v>
      </c>
      <c r="R266" s="83">
        <v>119</v>
      </c>
      <c r="S266" s="83">
        <v>143</v>
      </c>
      <c r="T266" s="83">
        <v>151</v>
      </c>
      <c r="U266" s="83">
        <v>147</v>
      </c>
      <c r="V266" s="83">
        <v>135</v>
      </c>
      <c r="W266" s="83">
        <v>140</v>
      </c>
      <c r="X266" s="83">
        <v>142</v>
      </c>
      <c r="Y266" s="83">
        <v>143</v>
      </c>
      <c r="Z266" s="83">
        <v>138</v>
      </c>
      <c r="AA266" s="83">
        <v>151</v>
      </c>
      <c r="AB266" s="83">
        <v>148</v>
      </c>
      <c r="AC266" s="83">
        <v>145</v>
      </c>
      <c r="AD266" s="83">
        <v>134</v>
      </c>
      <c r="AE266" s="83">
        <v>153</v>
      </c>
      <c r="AF266" s="83">
        <v>147</v>
      </c>
      <c r="AG266" s="83">
        <v>146</v>
      </c>
      <c r="AH266" s="83">
        <v>134</v>
      </c>
      <c r="AI266" s="83">
        <v>133</v>
      </c>
      <c r="AJ266" s="83">
        <v>133</v>
      </c>
      <c r="AK266" s="83">
        <v>133</v>
      </c>
      <c r="AL266" s="83">
        <v>120</v>
      </c>
      <c r="AM266" s="83">
        <v>129</v>
      </c>
      <c r="AN266" s="83">
        <v>125</v>
      </c>
      <c r="AO266" s="83">
        <v>119</v>
      </c>
      <c r="AP266" s="83">
        <v>110</v>
      </c>
      <c r="AQ266" s="83">
        <v>127</v>
      </c>
      <c r="AR266" s="83">
        <v>116</v>
      </c>
      <c r="AS266" s="83">
        <v>109</v>
      </c>
      <c r="AT266" s="83">
        <v>105</v>
      </c>
      <c r="AU266" s="83">
        <v>101</v>
      </c>
      <c r="AV266" s="83">
        <v>98</v>
      </c>
      <c r="AW266" s="83">
        <v>96</v>
      </c>
    </row>
    <row r="267" spans="1:49" x14ac:dyDescent="0.15">
      <c r="A267" s="83">
        <v>20200706</v>
      </c>
      <c r="B267" s="83">
        <v>77</v>
      </c>
      <c r="C267" s="83">
        <v>54</v>
      </c>
      <c r="D267" s="83">
        <v>56</v>
      </c>
      <c r="E267" s="83">
        <v>53</v>
      </c>
      <c r="F267" s="83">
        <v>50</v>
      </c>
      <c r="G267" s="83">
        <v>55</v>
      </c>
      <c r="H267" s="83">
        <v>54</v>
      </c>
      <c r="I267" s="83">
        <v>53</v>
      </c>
      <c r="J267" s="83">
        <v>51</v>
      </c>
      <c r="K267" s="83">
        <v>51</v>
      </c>
      <c r="L267" s="83">
        <v>51</v>
      </c>
      <c r="M267" s="83">
        <v>77</v>
      </c>
      <c r="N267" s="83">
        <v>92</v>
      </c>
      <c r="O267" s="83">
        <v>93</v>
      </c>
      <c r="P267" s="83">
        <v>119</v>
      </c>
      <c r="Q267" s="83">
        <v>121</v>
      </c>
      <c r="R267" s="83">
        <v>120</v>
      </c>
      <c r="S267" s="83">
        <v>139</v>
      </c>
      <c r="T267" s="83">
        <v>146</v>
      </c>
      <c r="U267" s="83">
        <v>140</v>
      </c>
      <c r="V267" s="83">
        <v>139</v>
      </c>
      <c r="W267" s="83">
        <v>136</v>
      </c>
      <c r="X267" s="83">
        <v>137</v>
      </c>
      <c r="Y267" s="83">
        <v>137</v>
      </c>
      <c r="Z267" s="83">
        <v>126</v>
      </c>
      <c r="AA267" s="83">
        <v>141</v>
      </c>
      <c r="AB267" s="83">
        <v>137</v>
      </c>
      <c r="AC267" s="83">
        <v>142</v>
      </c>
      <c r="AD267" s="83">
        <v>126</v>
      </c>
      <c r="AE267" s="83">
        <v>142</v>
      </c>
      <c r="AF267" s="83">
        <v>138</v>
      </c>
      <c r="AG267" s="83">
        <v>135</v>
      </c>
      <c r="AH267" s="83">
        <v>131</v>
      </c>
      <c r="AI267" s="83">
        <v>129</v>
      </c>
      <c r="AJ267" s="83">
        <v>124</v>
      </c>
      <c r="AK267" s="83">
        <v>126</v>
      </c>
      <c r="AL267" s="83">
        <v>120</v>
      </c>
      <c r="AM267" s="83">
        <v>137</v>
      </c>
      <c r="AN267" s="83">
        <v>130</v>
      </c>
      <c r="AO267" s="83">
        <v>124</v>
      </c>
      <c r="AP267" s="83">
        <v>116</v>
      </c>
      <c r="AQ267" s="83">
        <v>126</v>
      </c>
      <c r="AR267" s="83">
        <v>122</v>
      </c>
      <c r="AS267" s="83">
        <v>115</v>
      </c>
      <c r="AT267" s="83">
        <v>107</v>
      </c>
      <c r="AU267" s="83">
        <v>104</v>
      </c>
      <c r="AV267" s="83">
        <v>106</v>
      </c>
      <c r="AW267" s="83">
        <v>102</v>
      </c>
    </row>
    <row r="268" spans="1:49" x14ac:dyDescent="0.15">
      <c r="A268" s="83">
        <v>20200707</v>
      </c>
      <c r="B268" s="83">
        <v>74</v>
      </c>
      <c r="C268" s="83">
        <v>55</v>
      </c>
      <c r="D268" s="83">
        <v>57</v>
      </c>
      <c r="E268" s="83">
        <v>54</v>
      </c>
      <c r="F268" s="83">
        <v>50</v>
      </c>
      <c r="G268" s="83">
        <v>57</v>
      </c>
      <c r="H268" s="83">
        <v>56</v>
      </c>
      <c r="I268" s="83">
        <v>56</v>
      </c>
      <c r="J268" s="83">
        <v>53</v>
      </c>
      <c r="K268" s="83">
        <v>52</v>
      </c>
      <c r="L268" s="83">
        <v>52</v>
      </c>
      <c r="M268" s="83">
        <v>70</v>
      </c>
      <c r="N268" s="83">
        <v>101</v>
      </c>
      <c r="O268" s="83">
        <v>103</v>
      </c>
      <c r="P268" s="83">
        <v>120</v>
      </c>
      <c r="Q268" s="83">
        <v>124</v>
      </c>
      <c r="R268" s="83">
        <v>123</v>
      </c>
      <c r="S268" s="83">
        <v>146</v>
      </c>
      <c r="T268" s="83">
        <v>148</v>
      </c>
      <c r="U268" s="83">
        <v>149</v>
      </c>
      <c r="V268" s="83">
        <v>141</v>
      </c>
      <c r="W268" s="83">
        <v>136</v>
      </c>
      <c r="X268" s="83">
        <v>141</v>
      </c>
      <c r="Y268" s="83">
        <v>137</v>
      </c>
      <c r="Z268" s="83">
        <v>133</v>
      </c>
      <c r="AA268" s="83">
        <v>142</v>
      </c>
      <c r="AB268" s="83">
        <v>140</v>
      </c>
      <c r="AC268" s="83">
        <v>137</v>
      </c>
      <c r="AD268" s="83">
        <v>132</v>
      </c>
      <c r="AE268" s="83">
        <v>144</v>
      </c>
      <c r="AF268" s="83">
        <v>141</v>
      </c>
      <c r="AG268" s="83">
        <v>128</v>
      </c>
      <c r="AH268" s="83">
        <v>129</v>
      </c>
      <c r="AI268" s="83">
        <v>128</v>
      </c>
      <c r="AJ268" s="83">
        <v>121</v>
      </c>
      <c r="AK268" s="83">
        <v>118</v>
      </c>
      <c r="AL268" s="83">
        <v>116</v>
      </c>
      <c r="AM268" s="83">
        <v>129</v>
      </c>
      <c r="AN268" s="83">
        <v>123</v>
      </c>
      <c r="AO268" s="83">
        <v>120</v>
      </c>
      <c r="AP268" s="83">
        <v>110</v>
      </c>
      <c r="AQ268" s="83">
        <v>120</v>
      </c>
      <c r="AR268" s="83">
        <v>118</v>
      </c>
      <c r="AS268" s="83">
        <v>115</v>
      </c>
      <c r="AT268" s="83">
        <v>105</v>
      </c>
      <c r="AU268" s="83">
        <v>106</v>
      </c>
      <c r="AV268" s="83">
        <v>103</v>
      </c>
      <c r="AW268" s="83">
        <v>101</v>
      </c>
    </row>
    <row r="269" spans="1:49" x14ac:dyDescent="0.15">
      <c r="A269" s="83">
        <v>20200708</v>
      </c>
      <c r="B269" s="83">
        <v>75</v>
      </c>
      <c r="C269" s="83">
        <v>57</v>
      </c>
      <c r="D269" s="83">
        <v>57</v>
      </c>
      <c r="E269" s="83">
        <v>53</v>
      </c>
      <c r="F269" s="83">
        <v>49</v>
      </c>
      <c r="G269" s="83">
        <v>56</v>
      </c>
      <c r="H269" s="83">
        <v>54</v>
      </c>
      <c r="I269" s="83">
        <v>55</v>
      </c>
      <c r="J269" s="83">
        <v>50</v>
      </c>
      <c r="K269" s="83">
        <v>50</v>
      </c>
      <c r="L269" s="83">
        <v>51</v>
      </c>
      <c r="M269" s="83">
        <v>80</v>
      </c>
      <c r="N269" s="83">
        <v>91</v>
      </c>
      <c r="O269" s="83">
        <v>90</v>
      </c>
      <c r="P269" s="83">
        <v>114</v>
      </c>
      <c r="Q269" s="83">
        <v>122</v>
      </c>
      <c r="R269" s="83">
        <v>121</v>
      </c>
      <c r="S269" s="83">
        <v>137</v>
      </c>
      <c r="T269" s="83">
        <v>145</v>
      </c>
      <c r="U269" s="83">
        <v>141</v>
      </c>
      <c r="V269" s="83">
        <v>129</v>
      </c>
      <c r="W269" s="83">
        <v>136</v>
      </c>
      <c r="X269" s="83">
        <v>132</v>
      </c>
      <c r="Y269" s="83">
        <v>140</v>
      </c>
      <c r="Z269" s="83">
        <v>141</v>
      </c>
      <c r="AA269" s="83">
        <v>148</v>
      </c>
      <c r="AB269" s="83">
        <v>143</v>
      </c>
      <c r="AC269" s="83">
        <v>146</v>
      </c>
      <c r="AD269" s="83">
        <v>134</v>
      </c>
      <c r="AE269" s="83">
        <v>147</v>
      </c>
      <c r="AF269" s="83">
        <v>141</v>
      </c>
      <c r="AG269" s="83">
        <v>135</v>
      </c>
      <c r="AH269" s="83">
        <v>132</v>
      </c>
      <c r="AI269" s="83">
        <v>132</v>
      </c>
      <c r="AJ269" s="83">
        <v>127</v>
      </c>
      <c r="AK269" s="83">
        <v>129</v>
      </c>
      <c r="AL269" s="83">
        <v>123</v>
      </c>
      <c r="AM269" s="83">
        <v>133</v>
      </c>
      <c r="AN269" s="83">
        <v>123</v>
      </c>
      <c r="AO269" s="83">
        <v>119</v>
      </c>
      <c r="AP269" s="83">
        <v>116</v>
      </c>
      <c r="AQ269" s="83">
        <v>122</v>
      </c>
      <c r="AR269" s="83">
        <v>121</v>
      </c>
      <c r="AS269" s="83">
        <v>111</v>
      </c>
      <c r="AT269" s="83">
        <v>107</v>
      </c>
      <c r="AU269" s="83">
        <v>106</v>
      </c>
      <c r="AV269" s="83">
        <v>102</v>
      </c>
      <c r="AW269" s="83">
        <v>101</v>
      </c>
    </row>
    <row r="270" spans="1:49" x14ac:dyDescent="0.15">
      <c r="A270" s="83">
        <v>20200709</v>
      </c>
      <c r="B270" s="83">
        <v>74</v>
      </c>
      <c r="C270" s="83">
        <v>55</v>
      </c>
      <c r="D270" s="83">
        <v>57</v>
      </c>
      <c r="E270" s="83">
        <v>52</v>
      </c>
      <c r="F270" s="83">
        <v>50</v>
      </c>
      <c r="G270" s="83">
        <v>57</v>
      </c>
      <c r="H270" s="83">
        <v>55</v>
      </c>
      <c r="I270" s="83">
        <v>54</v>
      </c>
      <c r="J270" s="83">
        <v>50</v>
      </c>
      <c r="K270" s="83">
        <v>51</v>
      </c>
      <c r="L270" s="83">
        <v>50</v>
      </c>
      <c r="M270" s="83">
        <v>79</v>
      </c>
      <c r="N270" s="83">
        <v>93</v>
      </c>
      <c r="O270" s="83">
        <v>101</v>
      </c>
      <c r="P270" s="83">
        <v>119</v>
      </c>
      <c r="Q270" s="83">
        <v>119</v>
      </c>
      <c r="R270" s="83">
        <v>125</v>
      </c>
      <c r="S270" s="83">
        <v>144</v>
      </c>
      <c r="T270" s="83">
        <v>150</v>
      </c>
      <c r="U270" s="83">
        <v>151</v>
      </c>
      <c r="V270" s="83">
        <v>150</v>
      </c>
      <c r="W270" s="83">
        <v>147</v>
      </c>
      <c r="X270" s="83">
        <v>148</v>
      </c>
      <c r="Y270" s="83">
        <v>146</v>
      </c>
      <c r="Z270" s="83">
        <v>145</v>
      </c>
      <c r="AA270" s="83">
        <v>155</v>
      </c>
      <c r="AB270" s="83">
        <v>148</v>
      </c>
      <c r="AC270" s="83">
        <v>146</v>
      </c>
      <c r="AD270" s="83">
        <v>141</v>
      </c>
      <c r="AE270" s="83">
        <v>148</v>
      </c>
      <c r="AF270" s="83">
        <v>143</v>
      </c>
      <c r="AG270" s="83">
        <v>141</v>
      </c>
      <c r="AH270" s="83">
        <v>136</v>
      </c>
      <c r="AI270" s="83">
        <v>131</v>
      </c>
      <c r="AJ270" s="83">
        <v>131</v>
      </c>
      <c r="AK270" s="83">
        <v>126</v>
      </c>
      <c r="AL270" s="83">
        <v>120</v>
      </c>
      <c r="AM270" s="83">
        <v>133</v>
      </c>
      <c r="AN270" s="83">
        <v>127</v>
      </c>
      <c r="AO270" s="83">
        <v>130</v>
      </c>
      <c r="AP270" s="83">
        <v>116</v>
      </c>
      <c r="AQ270" s="83">
        <v>123</v>
      </c>
      <c r="AR270" s="83">
        <v>122</v>
      </c>
      <c r="AS270" s="83">
        <v>116</v>
      </c>
      <c r="AT270" s="83">
        <v>109</v>
      </c>
      <c r="AU270" s="83">
        <v>103</v>
      </c>
      <c r="AV270" s="83">
        <v>100</v>
      </c>
      <c r="AW270" s="83">
        <v>99</v>
      </c>
    </row>
    <row r="271" spans="1:49" x14ac:dyDescent="0.15">
      <c r="A271" s="83">
        <v>20200710</v>
      </c>
      <c r="B271" s="83">
        <v>69</v>
      </c>
      <c r="C271" s="83">
        <v>56</v>
      </c>
      <c r="D271" s="83">
        <v>54</v>
      </c>
      <c r="E271" s="83">
        <v>51</v>
      </c>
      <c r="F271" s="83">
        <v>48</v>
      </c>
      <c r="G271" s="83">
        <v>56</v>
      </c>
      <c r="H271" s="83">
        <v>54</v>
      </c>
      <c r="I271" s="83">
        <v>52</v>
      </c>
      <c r="J271" s="83">
        <v>51</v>
      </c>
      <c r="K271" s="83">
        <v>49</v>
      </c>
      <c r="L271" s="83">
        <v>50</v>
      </c>
      <c r="M271" s="83">
        <v>72</v>
      </c>
      <c r="N271" s="83">
        <v>99</v>
      </c>
      <c r="O271" s="83">
        <v>106</v>
      </c>
      <c r="P271" s="83">
        <v>113</v>
      </c>
      <c r="Q271" s="83">
        <v>128</v>
      </c>
      <c r="R271" s="83">
        <v>127</v>
      </c>
      <c r="S271" s="83">
        <v>149</v>
      </c>
      <c r="T271" s="83">
        <v>152</v>
      </c>
      <c r="U271" s="83">
        <v>151</v>
      </c>
      <c r="V271" s="83">
        <v>141</v>
      </c>
      <c r="W271" s="83">
        <v>143</v>
      </c>
      <c r="X271" s="83">
        <v>146</v>
      </c>
      <c r="Y271" s="83">
        <v>141</v>
      </c>
      <c r="Z271" s="83">
        <v>133</v>
      </c>
      <c r="AA271" s="83">
        <v>140</v>
      </c>
      <c r="AB271" s="83">
        <v>138</v>
      </c>
      <c r="AC271" s="83">
        <v>136</v>
      </c>
      <c r="AD271" s="83">
        <v>129</v>
      </c>
      <c r="AE271" s="83">
        <v>141</v>
      </c>
      <c r="AF271" s="83">
        <v>138</v>
      </c>
      <c r="AG271" s="83">
        <v>133</v>
      </c>
      <c r="AH271" s="83">
        <v>132</v>
      </c>
      <c r="AI271" s="83">
        <v>128</v>
      </c>
      <c r="AJ271" s="83">
        <v>126</v>
      </c>
      <c r="AK271" s="83">
        <v>125</v>
      </c>
      <c r="AL271" s="83">
        <v>116</v>
      </c>
      <c r="AM271" s="83">
        <v>129</v>
      </c>
      <c r="AN271" s="83">
        <v>124</v>
      </c>
      <c r="AO271" s="83">
        <v>120</v>
      </c>
      <c r="AP271" s="83">
        <v>111</v>
      </c>
      <c r="AQ271" s="83">
        <v>123</v>
      </c>
      <c r="AR271" s="83">
        <v>123</v>
      </c>
      <c r="AS271" s="83">
        <v>117</v>
      </c>
      <c r="AT271" s="83">
        <v>115</v>
      </c>
      <c r="AU271" s="83">
        <v>107</v>
      </c>
      <c r="AV271" s="83">
        <v>106</v>
      </c>
      <c r="AW271" s="83">
        <v>104</v>
      </c>
    </row>
    <row r="272" spans="1:49" x14ac:dyDescent="0.15">
      <c r="A272" s="83">
        <v>20200711</v>
      </c>
      <c r="B272" s="83">
        <v>79</v>
      </c>
      <c r="C272" s="83">
        <v>59</v>
      </c>
      <c r="D272" s="83">
        <v>58</v>
      </c>
      <c r="E272" s="83">
        <v>57</v>
      </c>
      <c r="F272" s="83">
        <v>50</v>
      </c>
      <c r="G272" s="83">
        <v>61</v>
      </c>
      <c r="H272" s="83">
        <v>57</v>
      </c>
      <c r="I272" s="83">
        <v>57</v>
      </c>
      <c r="J272" s="83">
        <v>53</v>
      </c>
      <c r="K272" s="83">
        <v>53</v>
      </c>
      <c r="L272" s="83">
        <v>54</v>
      </c>
      <c r="M272" s="83">
        <v>76</v>
      </c>
      <c r="N272" s="83">
        <v>97</v>
      </c>
      <c r="O272" s="83">
        <v>101</v>
      </c>
      <c r="P272" s="83">
        <v>122</v>
      </c>
      <c r="Q272" s="83">
        <v>129</v>
      </c>
      <c r="R272" s="83">
        <v>123</v>
      </c>
      <c r="S272" s="83">
        <v>150</v>
      </c>
      <c r="T272" s="83">
        <v>161</v>
      </c>
      <c r="U272" s="83">
        <v>162</v>
      </c>
      <c r="V272" s="83">
        <v>151</v>
      </c>
      <c r="W272" s="83">
        <v>149</v>
      </c>
      <c r="X272" s="83">
        <v>148</v>
      </c>
      <c r="Y272" s="83">
        <v>147</v>
      </c>
      <c r="Z272" s="83">
        <v>138</v>
      </c>
      <c r="AA272" s="83">
        <v>142</v>
      </c>
      <c r="AB272" s="83">
        <v>148</v>
      </c>
      <c r="AC272" s="83">
        <v>145</v>
      </c>
      <c r="AD272" s="83">
        <v>137</v>
      </c>
      <c r="AE272" s="83">
        <v>146</v>
      </c>
      <c r="AF272" s="83">
        <v>146</v>
      </c>
      <c r="AG272" s="83">
        <v>148</v>
      </c>
      <c r="AH272" s="83">
        <v>137</v>
      </c>
      <c r="AI272" s="83">
        <v>134</v>
      </c>
      <c r="AJ272" s="83">
        <v>130</v>
      </c>
      <c r="AK272" s="83">
        <v>127</v>
      </c>
      <c r="AL272" s="83">
        <v>122</v>
      </c>
      <c r="AM272" s="83">
        <v>136</v>
      </c>
      <c r="AN272" s="83">
        <v>125</v>
      </c>
      <c r="AO272" s="83">
        <v>122</v>
      </c>
      <c r="AP272" s="83">
        <v>118</v>
      </c>
      <c r="AQ272" s="83">
        <v>127</v>
      </c>
      <c r="AR272" s="83">
        <v>124</v>
      </c>
      <c r="AS272" s="83">
        <v>117</v>
      </c>
      <c r="AT272" s="83">
        <v>111</v>
      </c>
      <c r="AU272" s="83">
        <v>109</v>
      </c>
      <c r="AV272" s="83">
        <v>104</v>
      </c>
      <c r="AW272" s="83">
        <v>107</v>
      </c>
    </row>
    <row r="273" spans="1:49" x14ac:dyDescent="0.15">
      <c r="A273" s="83">
        <v>20200712</v>
      </c>
      <c r="B273" s="83">
        <v>73</v>
      </c>
      <c r="C273" s="83">
        <v>60</v>
      </c>
      <c r="D273" s="83">
        <v>59</v>
      </c>
      <c r="E273" s="83">
        <v>56</v>
      </c>
      <c r="F273" s="83">
        <v>53</v>
      </c>
      <c r="G273" s="83">
        <v>61</v>
      </c>
      <c r="H273" s="83">
        <v>61</v>
      </c>
      <c r="I273" s="83">
        <v>58</v>
      </c>
      <c r="J273" s="83">
        <v>56</v>
      </c>
      <c r="K273" s="83">
        <v>55</v>
      </c>
      <c r="L273" s="83">
        <v>78</v>
      </c>
      <c r="M273" s="83">
        <v>82</v>
      </c>
      <c r="N273" s="83">
        <v>86</v>
      </c>
      <c r="O273" s="83">
        <v>102</v>
      </c>
      <c r="P273" s="83">
        <v>122</v>
      </c>
      <c r="Q273" s="83">
        <v>131</v>
      </c>
      <c r="R273" s="83">
        <v>127</v>
      </c>
      <c r="S273" s="83">
        <v>151</v>
      </c>
      <c r="T273" s="83">
        <v>156</v>
      </c>
      <c r="U273" s="83">
        <v>146</v>
      </c>
      <c r="V273" s="83">
        <v>143</v>
      </c>
      <c r="W273" s="83">
        <v>140</v>
      </c>
      <c r="X273" s="83">
        <v>142</v>
      </c>
      <c r="Y273" s="83">
        <v>144</v>
      </c>
      <c r="Z273" s="83">
        <v>135</v>
      </c>
      <c r="AA273" s="83">
        <v>145</v>
      </c>
      <c r="AB273" s="83">
        <v>149</v>
      </c>
      <c r="AC273" s="83">
        <v>148</v>
      </c>
      <c r="AD273" s="83">
        <v>136</v>
      </c>
      <c r="AE273" s="83">
        <v>149</v>
      </c>
      <c r="AF273" s="83">
        <v>152</v>
      </c>
      <c r="AG273" s="83">
        <v>154</v>
      </c>
      <c r="AH273" s="83">
        <v>145</v>
      </c>
      <c r="AI273" s="83">
        <v>141</v>
      </c>
      <c r="AJ273" s="83">
        <v>139</v>
      </c>
      <c r="AK273" s="83">
        <v>138</v>
      </c>
      <c r="AL273" s="83">
        <v>125</v>
      </c>
      <c r="AM273" s="83">
        <v>134</v>
      </c>
      <c r="AN273" s="83">
        <v>123</v>
      </c>
      <c r="AO273" s="83">
        <v>122</v>
      </c>
      <c r="AP273" s="83">
        <v>118</v>
      </c>
      <c r="AQ273" s="83">
        <v>126</v>
      </c>
      <c r="AR273" s="83">
        <v>122</v>
      </c>
      <c r="AS273" s="83">
        <v>111</v>
      </c>
      <c r="AT273" s="83">
        <v>107</v>
      </c>
      <c r="AU273" s="83">
        <v>101</v>
      </c>
      <c r="AV273" s="83">
        <v>98</v>
      </c>
      <c r="AW273" s="83">
        <v>97</v>
      </c>
    </row>
    <row r="274" spans="1:49" x14ac:dyDescent="0.15">
      <c r="A274" s="83">
        <v>20200713</v>
      </c>
      <c r="B274" s="83">
        <v>72</v>
      </c>
      <c r="C274" s="83">
        <v>53</v>
      </c>
      <c r="D274" s="83">
        <v>54</v>
      </c>
      <c r="E274" s="83">
        <v>51</v>
      </c>
      <c r="F274" s="83">
        <v>47</v>
      </c>
      <c r="G274" s="83">
        <v>53</v>
      </c>
      <c r="H274" s="83">
        <v>51</v>
      </c>
      <c r="I274" s="83">
        <v>49</v>
      </c>
      <c r="J274" s="83">
        <v>49</v>
      </c>
      <c r="K274" s="83">
        <v>50</v>
      </c>
      <c r="L274" s="83">
        <v>59</v>
      </c>
      <c r="M274" s="83">
        <v>77</v>
      </c>
      <c r="N274" s="83">
        <v>92</v>
      </c>
      <c r="O274" s="83">
        <v>95</v>
      </c>
      <c r="P274" s="83">
        <v>110</v>
      </c>
      <c r="Q274" s="83">
        <v>122</v>
      </c>
      <c r="R274" s="83">
        <v>121</v>
      </c>
      <c r="S274" s="83">
        <v>142</v>
      </c>
      <c r="T274" s="83">
        <v>151</v>
      </c>
      <c r="U274" s="83">
        <v>150</v>
      </c>
      <c r="V274" s="83">
        <v>145</v>
      </c>
      <c r="W274" s="83">
        <v>142</v>
      </c>
      <c r="X274" s="83">
        <v>148</v>
      </c>
      <c r="Y274" s="83">
        <v>144</v>
      </c>
      <c r="Z274" s="83">
        <v>143</v>
      </c>
      <c r="AA274" s="83">
        <v>152</v>
      </c>
      <c r="AB274" s="83">
        <v>149</v>
      </c>
      <c r="AC274" s="83">
        <v>137</v>
      </c>
      <c r="AD274" s="83">
        <v>137</v>
      </c>
      <c r="AE274" s="83">
        <v>150</v>
      </c>
      <c r="AF274" s="83">
        <v>146</v>
      </c>
      <c r="AG274" s="83">
        <v>140</v>
      </c>
      <c r="AH274" s="83">
        <v>139</v>
      </c>
      <c r="AI274" s="83">
        <v>137</v>
      </c>
      <c r="AJ274" s="83">
        <v>139</v>
      </c>
      <c r="AK274" s="83">
        <v>134</v>
      </c>
      <c r="AL274" s="83">
        <v>118</v>
      </c>
      <c r="AM274" s="83">
        <v>131</v>
      </c>
      <c r="AN274" s="83">
        <v>124</v>
      </c>
      <c r="AO274" s="83">
        <v>128</v>
      </c>
      <c r="AP274" s="83">
        <v>113</v>
      </c>
      <c r="AQ274" s="83">
        <v>121</v>
      </c>
      <c r="AR274" s="83">
        <v>121</v>
      </c>
      <c r="AS274" s="83">
        <v>111</v>
      </c>
      <c r="AT274" s="83">
        <v>107</v>
      </c>
      <c r="AU274" s="83">
        <v>105</v>
      </c>
      <c r="AV274" s="83">
        <v>102</v>
      </c>
      <c r="AW274" s="83">
        <v>100</v>
      </c>
    </row>
    <row r="275" spans="1:49" x14ac:dyDescent="0.15">
      <c r="A275" s="83">
        <v>20200714</v>
      </c>
      <c r="B275" s="83">
        <v>70</v>
      </c>
      <c r="C275" s="83">
        <v>56</v>
      </c>
      <c r="D275" s="83">
        <v>54</v>
      </c>
      <c r="E275" s="83">
        <v>53</v>
      </c>
      <c r="F275" s="83">
        <v>51</v>
      </c>
      <c r="G275" s="83">
        <v>57</v>
      </c>
      <c r="H275" s="83">
        <v>53</v>
      </c>
      <c r="I275" s="83">
        <v>54</v>
      </c>
      <c r="J275" s="83">
        <v>50</v>
      </c>
      <c r="K275" s="83">
        <v>49</v>
      </c>
      <c r="L275" s="83">
        <v>50</v>
      </c>
      <c r="M275" s="83">
        <v>62</v>
      </c>
      <c r="N275" s="83">
        <v>102</v>
      </c>
      <c r="O275" s="83">
        <v>95</v>
      </c>
      <c r="P275" s="83">
        <v>111</v>
      </c>
      <c r="Q275" s="83">
        <v>110</v>
      </c>
      <c r="R275" s="83">
        <v>111</v>
      </c>
      <c r="S275" s="83">
        <v>130</v>
      </c>
      <c r="T275" s="83">
        <v>136</v>
      </c>
      <c r="U275" s="83">
        <v>130</v>
      </c>
      <c r="V275" s="83">
        <v>133</v>
      </c>
      <c r="W275" s="83">
        <v>129</v>
      </c>
      <c r="X275" s="83">
        <v>125</v>
      </c>
      <c r="Y275" s="83">
        <v>128</v>
      </c>
      <c r="Z275" s="83">
        <v>121</v>
      </c>
      <c r="AA275" s="83">
        <v>124</v>
      </c>
      <c r="AB275" s="83">
        <v>120</v>
      </c>
      <c r="AC275" s="83">
        <v>120</v>
      </c>
      <c r="AD275" s="83">
        <v>111</v>
      </c>
      <c r="AE275" s="83">
        <v>126</v>
      </c>
      <c r="AF275" s="83">
        <v>119</v>
      </c>
      <c r="AG275" s="83">
        <v>118</v>
      </c>
      <c r="AH275" s="83">
        <v>115</v>
      </c>
      <c r="AI275" s="83">
        <v>116</v>
      </c>
      <c r="AJ275" s="83">
        <v>115</v>
      </c>
      <c r="AK275" s="83">
        <v>118</v>
      </c>
      <c r="AL275" s="83">
        <v>105</v>
      </c>
      <c r="AM275" s="83">
        <v>115</v>
      </c>
      <c r="AN275" s="83">
        <v>102</v>
      </c>
      <c r="AO275" s="83">
        <v>105</v>
      </c>
      <c r="AP275" s="83">
        <v>100</v>
      </c>
      <c r="AQ275" s="83">
        <v>113</v>
      </c>
      <c r="AR275" s="83">
        <v>106</v>
      </c>
      <c r="AS275" s="83">
        <v>102</v>
      </c>
      <c r="AT275" s="83">
        <v>101</v>
      </c>
      <c r="AU275" s="83">
        <v>97</v>
      </c>
      <c r="AV275" s="83">
        <v>97</v>
      </c>
      <c r="AW275" s="83">
        <v>96</v>
      </c>
    </row>
    <row r="276" spans="1:49" x14ac:dyDescent="0.15">
      <c r="A276" s="83">
        <v>20200715</v>
      </c>
      <c r="B276" s="83">
        <v>72</v>
      </c>
      <c r="C276" s="83">
        <v>54</v>
      </c>
      <c r="D276" s="83">
        <v>53</v>
      </c>
      <c r="E276" s="83">
        <v>50</v>
      </c>
      <c r="F276" s="83">
        <v>49</v>
      </c>
      <c r="G276" s="83">
        <v>53</v>
      </c>
      <c r="H276" s="83">
        <v>51</v>
      </c>
      <c r="I276" s="83">
        <v>51</v>
      </c>
      <c r="J276" s="83">
        <v>49</v>
      </c>
      <c r="K276" s="83">
        <v>48</v>
      </c>
      <c r="L276" s="83">
        <v>48</v>
      </c>
      <c r="M276" s="83">
        <v>71</v>
      </c>
      <c r="N276" s="83">
        <v>90</v>
      </c>
      <c r="O276" s="83">
        <v>98</v>
      </c>
      <c r="P276" s="83">
        <v>108</v>
      </c>
      <c r="Q276" s="83">
        <v>118</v>
      </c>
      <c r="R276" s="83">
        <v>119</v>
      </c>
      <c r="S276" s="83">
        <v>140</v>
      </c>
      <c r="T276" s="83">
        <v>145</v>
      </c>
      <c r="U276" s="83">
        <v>128</v>
      </c>
      <c r="V276" s="83">
        <v>124</v>
      </c>
      <c r="W276" s="83">
        <v>133</v>
      </c>
      <c r="X276" s="83">
        <v>127</v>
      </c>
      <c r="Y276" s="83">
        <v>132</v>
      </c>
      <c r="Z276" s="83">
        <v>122</v>
      </c>
      <c r="AA276" s="83">
        <v>131</v>
      </c>
      <c r="AB276" s="83">
        <v>128</v>
      </c>
      <c r="AC276" s="83">
        <v>126</v>
      </c>
      <c r="AD276" s="83">
        <v>115</v>
      </c>
      <c r="AE276" s="83">
        <v>124</v>
      </c>
      <c r="AF276" s="83">
        <v>125</v>
      </c>
      <c r="AG276" s="83">
        <v>127</v>
      </c>
      <c r="AH276" s="83">
        <v>115</v>
      </c>
      <c r="AI276" s="83">
        <v>115</v>
      </c>
      <c r="AJ276" s="83">
        <v>118</v>
      </c>
      <c r="AK276" s="83">
        <v>115</v>
      </c>
      <c r="AL276" s="83">
        <v>106</v>
      </c>
      <c r="AM276" s="83">
        <v>114</v>
      </c>
      <c r="AN276" s="83">
        <v>103</v>
      </c>
      <c r="AO276" s="83">
        <v>103</v>
      </c>
      <c r="AP276" s="83">
        <v>97</v>
      </c>
      <c r="AQ276" s="83">
        <v>110</v>
      </c>
      <c r="AR276" s="83">
        <v>104</v>
      </c>
      <c r="AS276" s="83">
        <v>99</v>
      </c>
      <c r="AT276" s="83">
        <v>95</v>
      </c>
      <c r="AU276" s="83">
        <v>95</v>
      </c>
      <c r="AV276" s="83">
        <v>93</v>
      </c>
      <c r="AW276" s="83">
        <v>93</v>
      </c>
    </row>
    <row r="277" spans="1:49" x14ac:dyDescent="0.15">
      <c r="A277" s="83">
        <v>20200716</v>
      </c>
      <c r="B277" s="83">
        <v>70</v>
      </c>
      <c r="C277" s="83">
        <v>52</v>
      </c>
      <c r="D277" s="83">
        <v>52</v>
      </c>
      <c r="E277" s="83">
        <v>49</v>
      </c>
      <c r="F277" s="83">
        <v>48</v>
      </c>
      <c r="G277" s="83">
        <v>55</v>
      </c>
      <c r="H277" s="83">
        <v>53</v>
      </c>
      <c r="I277" s="83">
        <v>53</v>
      </c>
      <c r="J277" s="83">
        <v>48</v>
      </c>
      <c r="K277" s="83">
        <v>49</v>
      </c>
      <c r="L277" s="83">
        <v>47</v>
      </c>
      <c r="M277" s="83">
        <v>71</v>
      </c>
      <c r="N277" s="83">
        <v>92</v>
      </c>
      <c r="O277" s="83">
        <v>97</v>
      </c>
      <c r="P277" s="83">
        <v>115</v>
      </c>
      <c r="Q277" s="83">
        <v>112</v>
      </c>
      <c r="R277" s="83">
        <v>117</v>
      </c>
      <c r="S277" s="83">
        <v>135</v>
      </c>
      <c r="T277" s="83">
        <v>149</v>
      </c>
      <c r="U277" s="83">
        <v>139</v>
      </c>
      <c r="V277" s="83">
        <v>137</v>
      </c>
      <c r="W277" s="83">
        <v>133</v>
      </c>
      <c r="X277" s="83">
        <v>134</v>
      </c>
      <c r="Y277" s="83">
        <v>140</v>
      </c>
      <c r="Z277" s="83">
        <v>137</v>
      </c>
      <c r="AA277" s="83">
        <v>149</v>
      </c>
      <c r="AB277" s="83">
        <v>144</v>
      </c>
      <c r="AC277" s="83">
        <v>138</v>
      </c>
      <c r="AD277" s="83">
        <v>138</v>
      </c>
      <c r="AE277" s="83">
        <v>154</v>
      </c>
      <c r="AF277" s="83">
        <v>150</v>
      </c>
      <c r="AG277" s="83">
        <v>141</v>
      </c>
      <c r="AH277" s="83">
        <v>137</v>
      </c>
      <c r="AI277" s="83">
        <v>132</v>
      </c>
      <c r="AJ277" s="83">
        <v>129</v>
      </c>
      <c r="AK277" s="83">
        <v>124</v>
      </c>
      <c r="AL277" s="83">
        <v>120</v>
      </c>
      <c r="AM277" s="83">
        <v>129</v>
      </c>
      <c r="AN277" s="83">
        <v>125</v>
      </c>
      <c r="AO277" s="83">
        <v>119</v>
      </c>
      <c r="AP277" s="83">
        <v>108</v>
      </c>
      <c r="AQ277" s="83">
        <v>120</v>
      </c>
      <c r="AR277" s="83">
        <v>116</v>
      </c>
      <c r="AS277" s="83">
        <v>110</v>
      </c>
      <c r="AT277" s="83">
        <v>103</v>
      </c>
      <c r="AU277" s="83">
        <v>104</v>
      </c>
      <c r="AV277" s="83">
        <v>101</v>
      </c>
      <c r="AW277" s="83">
        <v>99</v>
      </c>
    </row>
    <row r="278" spans="1:49" x14ac:dyDescent="0.15">
      <c r="A278" s="83">
        <v>20200717</v>
      </c>
      <c r="B278" s="83">
        <v>68</v>
      </c>
      <c r="C278" s="83">
        <v>52</v>
      </c>
      <c r="D278" s="83">
        <v>52</v>
      </c>
      <c r="E278" s="83">
        <v>51</v>
      </c>
      <c r="F278" s="83">
        <v>49</v>
      </c>
      <c r="G278" s="83">
        <v>55</v>
      </c>
      <c r="H278" s="83">
        <v>53</v>
      </c>
      <c r="I278" s="83">
        <v>52</v>
      </c>
      <c r="J278" s="83">
        <v>48</v>
      </c>
      <c r="K278" s="83">
        <v>48</v>
      </c>
      <c r="L278" s="83">
        <v>48</v>
      </c>
      <c r="M278" s="83">
        <v>68</v>
      </c>
      <c r="N278" s="83">
        <v>91</v>
      </c>
      <c r="O278" s="83">
        <v>95</v>
      </c>
      <c r="P278" s="83">
        <v>107</v>
      </c>
      <c r="Q278" s="83">
        <v>121</v>
      </c>
      <c r="R278" s="83">
        <v>119</v>
      </c>
      <c r="S278" s="83">
        <v>146</v>
      </c>
      <c r="T278" s="83">
        <v>152</v>
      </c>
      <c r="U278" s="83">
        <v>143</v>
      </c>
      <c r="V278" s="83">
        <v>141</v>
      </c>
      <c r="W278" s="83">
        <v>145</v>
      </c>
      <c r="X278" s="83">
        <v>144</v>
      </c>
      <c r="Y278" s="83">
        <v>149</v>
      </c>
      <c r="Z278" s="83">
        <v>144</v>
      </c>
      <c r="AA278" s="83">
        <v>156</v>
      </c>
      <c r="AB278" s="83">
        <v>156</v>
      </c>
      <c r="AC278" s="83">
        <v>153</v>
      </c>
      <c r="AD278" s="83">
        <v>147</v>
      </c>
      <c r="AE278" s="83">
        <v>156</v>
      </c>
      <c r="AF278" s="83">
        <v>149</v>
      </c>
      <c r="AG278" s="83">
        <v>151</v>
      </c>
      <c r="AH278" s="83">
        <v>144</v>
      </c>
      <c r="AI278" s="83">
        <v>140</v>
      </c>
      <c r="AJ278" s="83">
        <v>139</v>
      </c>
      <c r="AK278" s="83">
        <v>135</v>
      </c>
      <c r="AL278" s="83">
        <v>126</v>
      </c>
      <c r="AM278" s="83">
        <v>138</v>
      </c>
      <c r="AN278" s="83">
        <v>133</v>
      </c>
      <c r="AO278" s="83">
        <v>124</v>
      </c>
      <c r="AP278" s="83">
        <v>111</v>
      </c>
      <c r="AQ278" s="83">
        <v>124</v>
      </c>
      <c r="AR278" s="83">
        <v>121</v>
      </c>
      <c r="AS278" s="83">
        <v>118</v>
      </c>
      <c r="AT278" s="83">
        <v>112</v>
      </c>
      <c r="AU278" s="83">
        <v>111</v>
      </c>
      <c r="AV278" s="83">
        <v>104</v>
      </c>
      <c r="AW278" s="83">
        <v>104</v>
      </c>
    </row>
    <row r="279" spans="1:49" x14ac:dyDescent="0.15">
      <c r="A279" s="83">
        <v>20200718</v>
      </c>
      <c r="B279" s="83">
        <v>76</v>
      </c>
      <c r="C279" s="83">
        <v>60</v>
      </c>
      <c r="D279" s="83">
        <v>59</v>
      </c>
      <c r="E279" s="83">
        <v>54</v>
      </c>
      <c r="F279" s="83">
        <v>52</v>
      </c>
      <c r="G279" s="83">
        <v>60</v>
      </c>
      <c r="H279" s="83">
        <v>59</v>
      </c>
      <c r="I279" s="83">
        <v>58</v>
      </c>
      <c r="J279" s="83">
        <v>54</v>
      </c>
      <c r="K279" s="83">
        <v>54</v>
      </c>
      <c r="L279" s="83">
        <v>56</v>
      </c>
      <c r="M279" s="83">
        <v>87</v>
      </c>
      <c r="N279" s="83">
        <v>101</v>
      </c>
      <c r="O279" s="83">
        <v>102</v>
      </c>
      <c r="P279" s="83">
        <v>123</v>
      </c>
      <c r="Q279" s="83">
        <v>132</v>
      </c>
      <c r="R279" s="83">
        <v>133</v>
      </c>
      <c r="S279" s="83">
        <v>156</v>
      </c>
      <c r="T279" s="83">
        <v>158</v>
      </c>
      <c r="U279" s="83">
        <v>157</v>
      </c>
      <c r="V279" s="83">
        <v>150</v>
      </c>
      <c r="W279" s="83">
        <v>155</v>
      </c>
      <c r="X279" s="83">
        <v>153</v>
      </c>
      <c r="Y279" s="83">
        <v>159</v>
      </c>
      <c r="Z279" s="83">
        <v>151</v>
      </c>
      <c r="AA279" s="83">
        <v>161</v>
      </c>
      <c r="AB279" s="83">
        <v>165</v>
      </c>
      <c r="AC279" s="83">
        <v>154</v>
      </c>
      <c r="AD279" s="83">
        <v>147</v>
      </c>
      <c r="AE279" s="83">
        <v>163</v>
      </c>
      <c r="AF279" s="83">
        <v>163</v>
      </c>
      <c r="AG279" s="83">
        <v>160</v>
      </c>
      <c r="AH279" s="83">
        <v>156</v>
      </c>
      <c r="AI279" s="83">
        <v>152</v>
      </c>
      <c r="AJ279" s="83">
        <v>151</v>
      </c>
      <c r="AK279" s="83">
        <v>149</v>
      </c>
      <c r="AL279" s="83">
        <v>121</v>
      </c>
      <c r="AM279" s="83">
        <v>133</v>
      </c>
      <c r="AN279" s="83">
        <v>132</v>
      </c>
      <c r="AO279" s="83">
        <v>137</v>
      </c>
      <c r="AP279" s="83">
        <v>125</v>
      </c>
      <c r="AQ279" s="83">
        <v>136</v>
      </c>
      <c r="AR279" s="83">
        <v>129</v>
      </c>
      <c r="AS279" s="83">
        <v>117</v>
      </c>
      <c r="AT279" s="83">
        <v>113</v>
      </c>
      <c r="AU279" s="83">
        <v>112</v>
      </c>
      <c r="AV279" s="83">
        <v>109</v>
      </c>
      <c r="AW279" s="83">
        <v>107</v>
      </c>
    </row>
    <row r="280" spans="1:49" x14ac:dyDescent="0.15">
      <c r="A280" s="83">
        <v>20200719</v>
      </c>
      <c r="B280" s="83">
        <v>75</v>
      </c>
      <c r="C280" s="83">
        <v>60</v>
      </c>
      <c r="D280" s="83">
        <v>59</v>
      </c>
      <c r="E280" s="83">
        <v>55</v>
      </c>
      <c r="F280" s="83">
        <v>53</v>
      </c>
      <c r="G280" s="83">
        <v>61</v>
      </c>
      <c r="H280" s="83">
        <v>59</v>
      </c>
      <c r="I280" s="83">
        <v>57</v>
      </c>
      <c r="J280" s="83">
        <v>55</v>
      </c>
      <c r="K280" s="83">
        <v>54</v>
      </c>
      <c r="L280" s="83">
        <v>53</v>
      </c>
      <c r="M280" s="83">
        <v>57</v>
      </c>
      <c r="N280" s="83">
        <v>109</v>
      </c>
      <c r="O280" s="83">
        <v>102</v>
      </c>
      <c r="P280" s="83">
        <v>125</v>
      </c>
      <c r="Q280" s="83">
        <v>127</v>
      </c>
      <c r="R280" s="83">
        <v>135</v>
      </c>
      <c r="S280" s="83">
        <v>163</v>
      </c>
      <c r="T280" s="83">
        <v>169</v>
      </c>
      <c r="U280" s="83">
        <v>171</v>
      </c>
      <c r="V280" s="83">
        <v>167</v>
      </c>
      <c r="W280" s="83">
        <v>169</v>
      </c>
      <c r="X280" s="83">
        <v>172</v>
      </c>
      <c r="Y280" s="83">
        <v>173</v>
      </c>
      <c r="Z280" s="83">
        <v>166</v>
      </c>
      <c r="AA280" s="83">
        <v>170</v>
      </c>
      <c r="AB280" s="83">
        <v>171</v>
      </c>
      <c r="AC280" s="83">
        <v>170</v>
      </c>
      <c r="AD280" s="83">
        <v>163</v>
      </c>
      <c r="AE280" s="83">
        <v>173</v>
      </c>
      <c r="AF280" s="83">
        <v>174</v>
      </c>
      <c r="AG280" s="83">
        <v>170</v>
      </c>
      <c r="AH280" s="83">
        <v>161</v>
      </c>
      <c r="AI280" s="83">
        <v>160</v>
      </c>
      <c r="AJ280" s="83">
        <v>156</v>
      </c>
      <c r="AK280" s="83">
        <v>152</v>
      </c>
      <c r="AL280" s="83">
        <v>132</v>
      </c>
      <c r="AM280" s="83">
        <v>138</v>
      </c>
      <c r="AN280" s="83">
        <v>134</v>
      </c>
      <c r="AO280" s="83">
        <v>132</v>
      </c>
      <c r="AP280" s="83">
        <v>130</v>
      </c>
      <c r="AQ280" s="83">
        <v>128</v>
      </c>
      <c r="AR280" s="83">
        <v>127</v>
      </c>
      <c r="AS280" s="83">
        <v>119</v>
      </c>
      <c r="AT280" s="83">
        <v>115</v>
      </c>
      <c r="AU280" s="83">
        <v>112</v>
      </c>
      <c r="AV280" s="83">
        <v>109</v>
      </c>
      <c r="AW280" s="83">
        <v>109</v>
      </c>
    </row>
    <row r="281" spans="1:49" x14ac:dyDescent="0.15">
      <c r="A281" s="83">
        <v>20200720</v>
      </c>
      <c r="B281" s="83">
        <v>77</v>
      </c>
      <c r="C281" s="83">
        <v>57</v>
      </c>
      <c r="D281" s="83">
        <v>59</v>
      </c>
      <c r="E281" s="83">
        <v>55</v>
      </c>
      <c r="F281" s="83">
        <v>51</v>
      </c>
      <c r="G281" s="83">
        <v>58</v>
      </c>
      <c r="H281" s="83">
        <v>55</v>
      </c>
      <c r="I281" s="83">
        <v>55</v>
      </c>
      <c r="J281" s="83">
        <v>50</v>
      </c>
      <c r="K281" s="83">
        <v>54</v>
      </c>
      <c r="L281" s="83">
        <v>57</v>
      </c>
      <c r="M281" s="83">
        <v>75</v>
      </c>
      <c r="N281" s="83">
        <v>93</v>
      </c>
      <c r="O281" s="83">
        <v>100</v>
      </c>
      <c r="P281" s="83">
        <v>121</v>
      </c>
      <c r="Q281" s="83">
        <v>127</v>
      </c>
      <c r="R281" s="83">
        <v>134</v>
      </c>
      <c r="S281" s="83">
        <v>157</v>
      </c>
      <c r="T281" s="83">
        <v>169</v>
      </c>
      <c r="U281" s="83">
        <v>165</v>
      </c>
      <c r="V281" s="83">
        <v>163</v>
      </c>
      <c r="W281" s="83">
        <v>165</v>
      </c>
      <c r="X281" s="83">
        <v>164</v>
      </c>
      <c r="Y281" s="83">
        <v>162</v>
      </c>
      <c r="Z281" s="83">
        <v>159</v>
      </c>
      <c r="AA281" s="83">
        <v>164</v>
      </c>
      <c r="AB281" s="83">
        <v>160</v>
      </c>
      <c r="AC281" s="83">
        <v>165</v>
      </c>
      <c r="AD281" s="83">
        <v>152</v>
      </c>
      <c r="AE281" s="83">
        <v>172</v>
      </c>
      <c r="AF281" s="83">
        <v>163</v>
      </c>
      <c r="AG281" s="83">
        <v>156</v>
      </c>
      <c r="AH281" s="83">
        <v>144</v>
      </c>
      <c r="AI281" s="83">
        <v>137</v>
      </c>
      <c r="AJ281" s="83">
        <v>139</v>
      </c>
      <c r="AK281" s="83">
        <v>137</v>
      </c>
      <c r="AL281" s="83">
        <v>124</v>
      </c>
      <c r="AM281" s="83">
        <v>140</v>
      </c>
      <c r="AN281" s="83">
        <v>135</v>
      </c>
      <c r="AO281" s="83">
        <v>129</v>
      </c>
      <c r="AP281" s="83">
        <v>119</v>
      </c>
      <c r="AQ281" s="83">
        <v>128</v>
      </c>
      <c r="AR281" s="83">
        <v>124</v>
      </c>
      <c r="AS281" s="83">
        <v>117</v>
      </c>
      <c r="AT281" s="83">
        <v>114</v>
      </c>
      <c r="AU281" s="83">
        <v>111</v>
      </c>
      <c r="AV281" s="83">
        <v>110</v>
      </c>
      <c r="AW281" s="83">
        <v>107</v>
      </c>
    </row>
    <row r="282" spans="1:49" x14ac:dyDescent="0.15">
      <c r="A282" s="83">
        <v>20200721</v>
      </c>
      <c r="B282" s="83">
        <v>75</v>
      </c>
      <c r="C282" s="83">
        <v>61</v>
      </c>
      <c r="D282" s="83">
        <v>59</v>
      </c>
      <c r="E282" s="83">
        <v>59</v>
      </c>
      <c r="F282" s="83">
        <v>52</v>
      </c>
      <c r="G282" s="83">
        <v>64</v>
      </c>
      <c r="H282" s="83">
        <v>61</v>
      </c>
      <c r="I282" s="83">
        <v>59</v>
      </c>
      <c r="J282" s="83">
        <v>57</v>
      </c>
      <c r="K282" s="83">
        <v>58</v>
      </c>
      <c r="L282" s="83">
        <v>58</v>
      </c>
      <c r="M282" s="83">
        <v>96</v>
      </c>
      <c r="N282" s="83">
        <v>96</v>
      </c>
      <c r="O282" s="83">
        <v>112</v>
      </c>
      <c r="P282" s="83">
        <v>124</v>
      </c>
      <c r="Q282" s="83">
        <v>130</v>
      </c>
      <c r="R282" s="83">
        <v>133</v>
      </c>
      <c r="S282" s="83">
        <v>155</v>
      </c>
      <c r="T282" s="83">
        <v>167</v>
      </c>
      <c r="U282" s="83">
        <v>155</v>
      </c>
      <c r="V282" s="83">
        <v>158</v>
      </c>
      <c r="W282" s="83">
        <v>162</v>
      </c>
      <c r="X282" s="83">
        <v>164</v>
      </c>
      <c r="Y282" s="83">
        <v>161</v>
      </c>
      <c r="Z282" s="83">
        <v>152</v>
      </c>
      <c r="AA282" s="83">
        <v>158</v>
      </c>
      <c r="AB282" s="83">
        <v>155</v>
      </c>
      <c r="AC282" s="83">
        <v>149</v>
      </c>
      <c r="AD282" s="83">
        <v>146</v>
      </c>
      <c r="AE282" s="83">
        <v>160</v>
      </c>
      <c r="AF282" s="83">
        <v>158</v>
      </c>
      <c r="AG282" s="83">
        <v>164</v>
      </c>
      <c r="AH282" s="83">
        <v>157</v>
      </c>
      <c r="AI282" s="83">
        <v>152</v>
      </c>
      <c r="AJ282" s="83">
        <v>152</v>
      </c>
      <c r="AK282" s="83">
        <v>154</v>
      </c>
      <c r="AL282" s="83">
        <v>144</v>
      </c>
      <c r="AM282" s="83">
        <v>146</v>
      </c>
      <c r="AN282" s="83">
        <v>134</v>
      </c>
      <c r="AO282" s="83">
        <v>130</v>
      </c>
      <c r="AP282" s="83">
        <v>121</v>
      </c>
      <c r="AQ282" s="83">
        <v>134</v>
      </c>
      <c r="AR282" s="83">
        <v>127</v>
      </c>
      <c r="AS282" s="83">
        <v>123</v>
      </c>
      <c r="AT282" s="83">
        <v>123</v>
      </c>
      <c r="AU282" s="83">
        <v>116</v>
      </c>
      <c r="AV282" s="83">
        <v>116</v>
      </c>
      <c r="AW282" s="83">
        <v>113</v>
      </c>
    </row>
    <row r="283" spans="1:49" x14ac:dyDescent="0.15">
      <c r="A283" s="83">
        <v>20200722</v>
      </c>
      <c r="B283" s="83">
        <v>86</v>
      </c>
      <c r="C283" s="83">
        <v>69</v>
      </c>
      <c r="D283" s="83">
        <v>67</v>
      </c>
      <c r="E283" s="83">
        <v>64</v>
      </c>
      <c r="F283" s="83">
        <v>57</v>
      </c>
      <c r="G283" s="83">
        <v>72</v>
      </c>
      <c r="H283" s="83">
        <v>69</v>
      </c>
      <c r="I283" s="83">
        <v>66</v>
      </c>
      <c r="J283" s="83">
        <v>62</v>
      </c>
      <c r="K283" s="83">
        <v>61</v>
      </c>
      <c r="L283" s="83">
        <v>61</v>
      </c>
      <c r="M283" s="83">
        <v>82</v>
      </c>
      <c r="N283" s="83">
        <v>107</v>
      </c>
      <c r="O283" s="83">
        <v>106</v>
      </c>
      <c r="P283" s="83">
        <v>124</v>
      </c>
      <c r="Q283" s="83">
        <v>118</v>
      </c>
      <c r="R283" s="83">
        <v>127</v>
      </c>
      <c r="S283" s="83">
        <v>146</v>
      </c>
      <c r="T283" s="83">
        <v>163</v>
      </c>
      <c r="U283" s="83">
        <v>153</v>
      </c>
      <c r="V283" s="83">
        <v>156</v>
      </c>
      <c r="W283" s="83">
        <v>157</v>
      </c>
      <c r="X283" s="83">
        <v>155</v>
      </c>
      <c r="Y283" s="83">
        <v>159</v>
      </c>
      <c r="Z283" s="83">
        <v>156</v>
      </c>
      <c r="AA283" s="83">
        <v>167</v>
      </c>
      <c r="AB283" s="83">
        <v>159</v>
      </c>
      <c r="AC283" s="83">
        <v>150</v>
      </c>
      <c r="AD283" s="83">
        <v>147</v>
      </c>
      <c r="AE283" s="83">
        <v>149</v>
      </c>
      <c r="AF283" s="83">
        <v>156</v>
      </c>
      <c r="AG283" s="83">
        <v>156</v>
      </c>
      <c r="AH283" s="83">
        <v>151</v>
      </c>
      <c r="AI283" s="83">
        <v>146</v>
      </c>
      <c r="AJ283" s="83">
        <v>143</v>
      </c>
      <c r="AK283" s="83">
        <v>148</v>
      </c>
      <c r="AL283" s="83">
        <v>141</v>
      </c>
      <c r="AM283" s="83">
        <v>142</v>
      </c>
      <c r="AN283" s="83">
        <v>131</v>
      </c>
      <c r="AO283" s="83">
        <v>132</v>
      </c>
      <c r="AP283" s="83">
        <v>121</v>
      </c>
      <c r="AQ283" s="83">
        <v>132</v>
      </c>
      <c r="AR283" s="83">
        <v>123</v>
      </c>
      <c r="AS283" s="83">
        <v>114</v>
      </c>
      <c r="AT283" s="83">
        <v>117</v>
      </c>
      <c r="AU283" s="83">
        <v>115</v>
      </c>
      <c r="AV283" s="83">
        <v>111</v>
      </c>
      <c r="AW283" s="83">
        <v>108</v>
      </c>
    </row>
    <row r="284" spans="1:49" x14ac:dyDescent="0.15">
      <c r="A284" s="83">
        <v>20200723</v>
      </c>
      <c r="B284" s="83">
        <v>76</v>
      </c>
      <c r="C284" s="83">
        <v>66</v>
      </c>
      <c r="D284" s="83">
        <v>63</v>
      </c>
      <c r="E284" s="83">
        <v>61</v>
      </c>
      <c r="F284" s="83">
        <v>57</v>
      </c>
      <c r="G284" s="83">
        <v>65</v>
      </c>
      <c r="H284" s="83">
        <v>65</v>
      </c>
      <c r="I284" s="83">
        <v>62</v>
      </c>
      <c r="J284" s="83">
        <v>59</v>
      </c>
      <c r="K284" s="83">
        <v>55</v>
      </c>
      <c r="L284" s="83">
        <v>59</v>
      </c>
      <c r="M284" s="83">
        <v>81</v>
      </c>
      <c r="N284" s="83">
        <v>106</v>
      </c>
      <c r="O284" s="83">
        <v>104</v>
      </c>
      <c r="P284" s="83">
        <v>118</v>
      </c>
      <c r="Q284" s="83">
        <v>119</v>
      </c>
      <c r="R284" s="83">
        <v>125</v>
      </c>
      <c r="S284" s="83">
        <v>146</v>
      </c>
      <c r="T284" s="83">
        <v>147</v>
      </c>
      <c r="U284" s="83">
        <v>146</v>
      </c>
      <c r="V284" s="83">
        <v>145</v>
      </c>
      <c r="W284" s="83">
        <v>145</v>
      </c>
      <c r="X284" s="83">
        <v>148</v>
      </c>
      <c r="Y284" s="83">
        <v>145</v>
      </c>
      <c r="Z284" s="83">
        <v>151</v>
      </c>
      <c r="AA284" s="83">
        <v>154</v>
      </c>
      <c r="AB284" s="83">
        <v>154</v>
      </c>
      <c r="AC284" s="83">
        <v>154</v>
      </c>
      <c r="AD284" s="83">
        <v>145</v>
      </c>
      <c r="AE284" s="83">
        <v>163</v>
      </c>
      <c r="AF284" s="83">
        <v>159</v>
      </c>
      <c r="AG284" s="83">
        <v>150</v>
      </c>
      <c r="AH284" s="83">
        <v>144</v>
      </c>
      <c r="AI284" s="83">
        <v>137</v>
      </c>
      <c r="AJ284" s="83">
        <v>136</v>
      </c>
      <c r="AK284" s="83">
        <v>133</v>
      </c>
      <c r="AL284" s="83">
        <v>133</v>
      </c>
      <c r="AM284" s="83">
        <v>136</v>
      </c>
      <c r="AN284" s="83">
        <v>132</v>
      </c>
      <c r="AO284" s="83">
        <v>126</v>
      </c>
      <c r="AP284" s="83">
        <v>110</v>
      </c>
      <c r="AQ284" s="83">
        <v>125</v>
      </c>
      <c r="AR284" s="83">
        <v>123</v>
      </c>
      <c r="AS284" s="83">
        <v>116</v>
      </c>
      <c r="AT284" s="83">
        <v>111</v>
      </c>
      <c r="AU284" s="83">
        <v>105</v>
      </c>
      <c r="AV284" s="83">
        <v>103</v>
      </c>
      <c r="AW284" s="83">
        <v>100</v>
      </c>
    </row>
    <row r="285" spans="1:49" x14ac:dyDescent="0.15">
      <c r="A285" s="83">
        <v>20200724</v>
      </c>
      <c r="B285" s="83">
        <v>80</v>
      </c>
      <c r="C285" s="83">
        <v>62</v>
      </c>
      <c r="D285" s="83">
        <v>60</v>
      </c>
      <c r="E285" s="83">
        <v>56</v>
      </c>
      <c r="F285" s="83">
        <v>55</v>
      </c>
      <c r="G285" s="83">
        <v>64</v>
      </c>
      <c r="H285" s="83">
        <v>59</v>
      </c>
      <c r="I285" s="83">
        <v>58</v>
      </c>
      <c r="J285" s="83">
        <v>54</v>
      </c>
      <c r="K285" s="83">
        <v>54</v>
      </c>
      <c r="L285" s="83">
        <v>54</v>
      </c>
      <c r="M285" s="83">
        <v>65</v>
      </c>
      <c r="N285" s="83">
        <v>109</v>
      </c>
      <c r="O285" s="83">
        <v>110</v>
      </c>
      <c r="P285" s="83">
        <v>116</v>
      </c>
      <c r="Q285" s="83">
        <v>126</v>
      </c>
      <c r="R285" s="83">
        <v>130</v>
      </c>
      <c r="S285" s="83">
        <v>144</v>
      </c>
      <c r="T285" s="83">
        <v>152</v>
      </c>
      <c r="U285" s="83">
        <v>157</v>
      </c>
      <c r="V285" s="83">
        <v>153</v>
      </c>
      <c r="W285" s="83">
        <v>154</v>
      </c>
      <c r="X285" s="83">
        <v>157</v>
      </c>
      <c r="Y285" s="83">
        <v>159</v>
      </c>
      <c r="Z285" s="83">
        <v>158</v>
      </c>
      <c r="AA285" s="83">
        <v>162</v>
      </c>
      <c r="AB285" s="83">
        <v>161</v>
      </c>
      <c r="AC285" s="83">
        <v>150</v>
      </c>
      <c r="AD285" s="83">
        <v>150</v>
      </c>
      <c r="AE285" s="83">
        <v>158</v>
      </c>
      <c r="AF285" s="83">
        <v>154</v>
      </c>
      <c r="AG285" s="83">
        <v>143</v>
      </c>
      <c r="AH285" s="83">
        <v>142</v>
      </c>
      <c r="AI285" s="83">
        <v>139</v>
      </c>
      <c r="AJ285" s="83">
        <v>136</v>
      </c>
      <c r="AK285" s="83">
        <v>132</v>
      </c>
      <c r="AL285" s="83">
        <v>125</v>
      </c>
      <c r="AM285" s="83">
        <v>130</v>
      </c>
      <c r="AN285" s="83">
        <v>127</v>
      </c>
      <c r="AO285" s="83">
        <v>127</v>
      </c>
      <c r="AP285" s="83">
        <v>113</v>
      </c>
      <c r="AQ285" s="83">
        <v>131</v>
      </c>
      <c r="AR285" s="83">
        <v>120</v>
      </c>
      <c r="AS285" s="83">
        <v>118</v>
      </c>
      <c r="AT285" s="83">
        <v>113</v>
      </c>
      <c r="AU285" s="83">
        <v>107</v>
      </c>
      <c r="AV285" s="83">
        <v>112</v>
      </c>
      <c r="AW285" s="83">
        <v>107</v>
      </c>
    </row>
    <row r="286" spans="1:49" x14ac:dyDescent="0.15">
      <c r="A286" s="83">
        <v>20200725</v>
      </c>
      <c r="B286" s="83">
        <v>84</v>
      </c>
      <c r="C286" s="83">
        <v>67</v>
      </c>
      <c r="D286" s="83">
        <v>64</v>
      </c>
      <c r="E286" s="83">
        <v>60</v>
      </c>
      <c r="F286" s="83">
        <v>56</v>
      </c>
      <c r="G286" s="83">
        <v>64</v>
      </c>
      <c r="H286" s="83">
        <v>63</v>
      </c>
      <c r="I286" s="83">
        <v>61</v>
      </c>
      <c r="J286" s="83">
        <v>58</v>
      </c>
      <c r="K286" s="83">
        <v>58</v>
      </c>
      <c r="L286" s="83">
        <v>57</v>
      </c>
      <c r="M286" s="83">
        <v>68</v>
      </c>
      <c r="N286" s="83">
        <v>117</v>
      </c>
      <c r="O286" s="83">
        <v>106</v>
      </c>
      <c r="P286" s="83">
        <v>120</v>
      </c>
      <c r="Q286" s="83">
        <v>129</v>
      </c>
      <c r="R286" s="83">
        <v>128</v>
      </c>
      <c r="S286" s="83">
        <v>150</v>
      </c>
      <c r="T286" s="83">
        <v>164</v>
      </c>
      <c r="U286" s="83">
        <v>160</v>
      </c>
      <c r="V286" s="83">
        <v>157</v>
      </c>
      <c r="W286" s="83">
        <v>158</v>
      </c>
      <c r="X286" s="83">
        <v>156</v>
      </c>
      <c r="Y286" s="83">
        <v>158</v>
      </c>
      <c r="Z286" s="83">
        <v>158</v>
      </c>
      <c r="AA286" s="83">
        <v>157</v>
      </c>
      <c r="AB286" s="83">
        <v>162</v>
      </c>
      <c r="AC286" s="83">
        <v>161</v>
      </c>
      <c r="AD286" s="83">
        <v>159</v>
      </c>
      <c r="AE286" s="83">
        <v>165</v>
      </c>
      <c r="AF286" s="83">
        <v>159</v>
      </c>
      <c r="AG286" s="83">
        <v>157</v>
      </c>
      <c r="AH286" s="83">
        <v>153</v>
      </c>
      <c r="AI286" s="83">
        <v>150</v>
      </c>
      <c r="AJ286" s="83">
        <v>150</v>
      </c>
      <c r="AK286" s="83">
        <v>145</v>
      </c>
      <c r="AL286" s="83">
        <v>145</v>
      </c>
      <c r="AM286" s="83">
        <v>146</v>
      </c>
      <c r="AN286" s="83">
        <v>135</v>
      </c>
      <c r="AO286" s="83">
        <v>131</v>
      </c>
      <c r="AP286" s="83">
        <v>124</v>
      </c>
      <c r="AQ286" s="83">
        <v>131</v>
      </c>
      <c r="AR286" s="83">
        <v>127</v>
      </c>
      <c r="AS286" s="83">
        <v>125</v>
      </c>
      <c r="AT286" s="83">
        <v>121</v>
      </c>
      <c r="AU286" s="83">
        <v>112</v>
      </c>
      <c r="AV286" s="83">
        <v>113</v>
      </c>
      <c r="AW286" s="83">
        <v>111</v>
      </c>
    </row>
    <row r="287" spans="1:49" x14ac:dyDescent="0.15">
      <c r="A287" s="83">
        <v>20200726</v>
      </c>
      <c r="B287" s="83">
        <v>85</v>
      </c>
      <c r="C287" s="83">
        <v>71</v>
      </c>
      <c r="D287" s="83">
        <v>68</v>
      </c>
      <c r="E287" s="83">
        <v>65</v>
      </c>
      <c r="F287" s="83">
        <v>61</v>
      </c>
      <c r="G287" s="83">
        <v>69</v>
      </c>
      <c r="H287" s="83">
        <v>68</v>
      </c>
      <c r="I287" s="83">
        <v>67</v>
      </c>
      <c r="J287" s="83">
        <v>62</v>
      </c>
      <c r="K287" s="83">
        <v>62</v>
      </c>
      <c r="L287" s="83">
        <v>62</v>
      </c>
      <c r="M287" s="83">
        <v>85</v>
      </c>
      <c r="N287" s="83">
        <v>111</v>
      </c>
      <c r="O287" s="83">
        <v>110</v>
      </c>
      <c r="P287" s="83">
        <v>131</v>
      </c>
      <c r="Q287" s="83">
        <v>129</v>
      </c>
      <c r="R287" s="83">
        <v>134</v>
      </c>
      <c r="S287" s="83">
        <v>153</v>
      </c>
      <c r="T287" s="83">
        <v>164</v>
      </c>
      <c r="U287" s="83">
        <v>163</v>
      </c>
      <c r="V287" s="83">
        <v>164</v>
      </c>
      <c r="W287" s="83">
        <v>163</v>
      </c>
      <c r="X287" s="83">
        <v>168</v>
      </c>
      <c r="Y287" s="83">
        <v>171</v>
      </c>
      <c r="Z287" s="83">
        <v>174</v>
      </c>
      <c r="AA287" s="83">
        <v>173</v>
      </c>
      <c r="AB287" s="83">
        <v>168</v>
      </c>
      <c r="AC287" s="83">
        <v>163</v>
      </c>
      <c r="AD287" s="83">
        <v>159</v>
      </c>
      <c r="AE287" s="83">
        <v>176</v>
      </c>
      <c r="AF287" s="83">
        <v>170</v>
      </c>
      <c r="AG287" s="83">
        <v>167</v>
      </c>
      <c r="AH287" s="83">
        <v>159</v>
      </c>
      <c r="AI287" s="83">
        <v>155</v>
      </c>
      <c r="AJ287" s="83">
        <v>150</v>
      </c>
      <c r="AK287" s="83">
        <v>146</v>
      </c>
      <c r="AL287" s="83">
        <v>136</v>
      </c>
      <c r="AM287" s="83">
        <v>142</v>
      </c>
      <c r="AN287" s="83">
        <v>140</v>
      </c>
      <c r="AO287" s="83">
        <v>137</v>
      </c>
      <c r="AP287" s="83">
        <v>131</v>
      </c>
      <c r="AQ287" s="83">
        <v>139</v>
      </c>
      <c r="AR287" s="83">
        <v>139</v>
      </c>
      <c r="AS287" s="83">
        <v>127</v>
      </c>
      <c r="AT287" s="83">
        <v>124</v>
      </c>
      <c r="AU287" s="83">
        <v>118</v>
      </c>
      <c r="AV287" s="83">
        <v>118</v>
      </c>
      <c r="AW287" s="83">
        <v>110</v>
      </c>
    </row>
    <row r="288" spans="1:49" x14ac:dyDescent="0.15">
      <c r="A288" s="83">
        <v>20200727</v>
      </c>
      <c r="B288" s="83">
        <v>86</v>
      </c>
      <c r="C288" s="83">
        <v>74</v>
      </c>
      <c r="D288" s="83">
        <v>69</v>
      </c>
      <c r="E288" s="83">
        <v>67</v>
      </c>
      <c r="F288" s="83">
        <v>62</v>
      </c>
      <c r="G288" s="83">
        <v>72</v>
      </c>
      <c r="H288" s="83">
        <v>72</v>
      </c>
      <c r="I288" s="83">
        <v>69</v>
      </c>
      <c r="J288" s="83">
        <v>67</v>
      </c>
      <c r="K288" s="83">
        <v>66</v>
      </c>
      <c r="L288" s="83">
        <v>74</v>
      </c>
      <c r="M288" s="83">
        <v>88</v>
      </c>
      <c r="N288" s="83">
        <v>115</v>
      </c>
      <c r="O288" s="83">
        <v>116</v>
      </c>
      <c r="P288" s="83">
        <v>128</v>
      </c>
      <c r="Q288" s="83">
        <v>133</v>
      </c>
      <c r="R288" s="83">
        <v>138</v>
      </c>
      <c r="S288" s="83">
        <v>153</v>
      </c>
      <c r="T288" s="83">
        <v>170</v>
      </c>
      <c r="U288" s="83">
        <v>164</v>
      </c>
      <c r="V288" s="83">
        <v>158</v>
      </c>
      <c r="W288" s="83">
        <v>162</v>
      </c>
      <c r="X288" s="83">
        <v>156</v>
      </c>
      <c r="Y288" s="83">
        <v>162</v>
      </c>
      <c r="Z288" s="83">
        <v>149</v>
      </c>
      <c r="AA288" s="83">
        <v>153</v>
      </c>
      <c r="AB288" s="83">
        <v>149</v>
      </c>
      <c r="AC288" s="83">
        <v>144</v>
      </c>
      <c r="AD288" s="83">
        <v>137</v>
      </c>
      <c r="AE288" s="83">
        <v>146</v>
      </c>
      <c r="AF288" s="83">
        <v>147</v>
      </c>
      <c r="AG288" s="83">
        <v>145</v>
      </c>
      <c r="AH288" s="83">
        <v>144</v>
      </c>
      <c r="AI288" s="83">
        <v>138</v>
      </c>
      <c r="AJ288" s="83">
        <v>136</v>
      </c>
      <c r="AK288" s="83">
        <v>139</v>
      </c>
      <c r="AL288" s="83">
        <v>124</v>
      </c>
      <c r="AM288" s="83">
        <v>133</v>
      </c>
      <c r="AN288" s="83">
        <v>132</v>
      </c>
      <c r="AO288" s="83">
        <v>130</v>
      </c>
      <c r="AP288" s="83">
        <v>119</v>
      </c>
      <c r="AQ288" s="83">
        <v>127</v>
      </c>
      <c r="AR288" s="83">
        <v>125</v>
      </c>
      <c r="AS288" s="83">
        <v>118</v>
      </c>
      <c r="AT288" s="83">
        <v>116</v>
      </c>
      <c r="AU288" s="83">
        <v>112</v>
      </c>
      <c r="AV288" s="83">
        <v>109</v>
      </c>
      <c r="AW288" s="83">
        <v>104</v>
      </c>
    </row>
    <row r="289" spans="1:49" x14ac:dyDescent="0.15">
      <c r="A289" s="83">
        <v>20200728</v>
      </c>
      <c r="B289" s="83">
        <v>73</v>
      </c>
      <c r="C289" s="83">
        <v>57</v>
      </c>
      <c r="D289" s="83">
        <v>59</v>
      </c>
      <c r="E289" s="83">
        <v>56</v>
      </c>
      <c r="F289" s="83">
        <v>52</v>
      </c>
      <c r="G289" s="83">
        <v>60</v>
      </c>
      <c r="H289" s="83">
        <v>59</v>
      </c>
      <c r="I289" s="83">
        <v>57</v>
      </c>
      <c r="J289" s="83">
        <v>55</v>
      </c>
      <c r="K289" s="83">
        <v>54</v>
      </c>
      <c r="L289" s="83">
        <v>54</v>
      </c>
      <c r="M289" s="83">
        <v>65</v>
      </c>
      <c r="N289" s="83">
        <v>104</v>
      </c>
      <c r="O289" s="83">
        <v>103</v>
      </c>
      <c r="P289" s="83">
        <v>112</v>
      </c>
      <c r="Q289" s="83">
        <v>119</v>
      </c>
      <c r="R289" s="83">
        <v>123</v>
      </c>
      <c r="S289" s="83">
        <v>142</v>
      </c>
      <c r="T289" s="83">
        <v>141</v>
      </c>
      <c r="U289" s="83">
        <v>146</v>
      </c>
      <c r="V289" s="83">
        <v>135</v>
      </c>
      <c r="W289" s="83">
        <v>134</v>
      </c>
      <c r="X289" s="83">
        <v>135</v>
      </c>
      <c r="Y289" s="83">
        <v>130</v>
      </c>
      <c r="Z289" s="83">
        <v>129</v>
      </c>
      <c r="AA289" s="83">
        <v>140</v>
      </c>
      <c r="AB289" s="83">
        <v>138</v>
      </c>
      <c r="AC289" s="83">
        <v>135</v>
      </c>
      <c r="AD289" s="83">
        <v>126</v>
      </c>
      <c r="AE289" s="83">
        <v>138</v>
      </c>
      <c r="AF289" s="83">
        <v>139</v>
      </c>
      <c r="AG289" s="83">
        <v>140</v>
      </c>
      <c r="AH289" s="83">
        <v>139</v>
      </c>
      <c r="AI289" s="83">
        <v>141</v>
      </c>
      <c r="AJ289" s="83">
        <v>142</v>
      </c>
      <c r="AK289" s="83">
        <v>138</v>
      </c>
      <c r="AL289" s="83">
        <v>121</v>
      </c>
      <c r="AM289" s="83">
        <v>131</v>
      </c>
      <c r="AN289" s="83">
        <v>121</v>
      </c>
      <c r="AO289" s="83">
        <v>119</v>
      </c>
      <c r="AP289" s="83">
        <v>110</v>
      </c>
      <c r="AQ289" s="83">
        <v>125</v>
      </c>
      <c r="AR289" s="83">
        <v>120</v>
      </c>
      <c r="AS289" s="83">
        <v>117</v>
      </c>
      <c r="AT289" s="83">
        <v>110</v>
      </c>
      <c r="AU289" s="83">
        <v>110</v>
      </c>
      <c r="AV289" s="83">
        <v>106</v>
      </c>
      <c r="AW289" s="83">
        <v>106</v>
      </c>
    </row>
    <row r="290" spans="1:49" x14ac:dyDescent="0.15">
      <c r="A290" s="83">
        <v>20200729</v>
      </c>
      <c r="B290" s="83">
        <v>77</v>
      </c>
      <c r="C290" s="83">
        <v>57</v>
      </c>
      <c r="D290" s="83">
        <v>59</v>
      </c>
      <c r="E290" s="83">
        <v>57</v>
      </c>
      <c r="F290" s="83">
        <v>51</v>
      </c>
      <c r="G290" s="83">
        <v>59</v>
      </c>
      <c r="H290" s="83">
        <v>56</v>
      </c>
      <c r="I290" s="83">
        <v>58</v>
      </c>
      <c r="J290" s="83">
        <v>53</v>
      </c>
      <c r="K290" s="83">
        <v>54</v>
      </c>
      <c r="L290" s="83">
        <v>52</v>
      </c>
      <c r="M290" s="83">
        <v>63</v>
      </c>
      <c r="N290" s="83">
        <v>106</v>
      </c>
      <c r="O290" s="83">
        <v>99</v>
      </c>
      <c r="P290" s="83">
        <v>116</v>
      </c>
      <c r="Q290" s="83">
        <v>127</v>
      </c>
      <c r="R290" s="83">
        <v>129</v>
      </c>
      <c r="S290" s="83">
        <v>152</v>
      </c>
      <c r="T290" s="83">
        <v>156</v>
      </c>
      <c r="U290" s="83">
        <v>149</v>
      </c>
      <c r="V290" s="83">
        <v>147</v>
      </c>
      <c r="W290" s="83">
        <v>149</v>
      </c>
      <c r="X290" s="83">
        <v>153</v>
      </c>
      <c r="Y290" s="83">
        <v>149</v>
      </c>
      <c r="Z290" s="83">
        <v>145</v>
      </c>
      <c r="AA290" s="83">
        <v>152</v>
      </c>
      <c r="AB290" s="83">
        <v>144</v>
      </c>
      <c r="AC290" s="83">
        <v>143</v>
      </c>
      <c r="AD290" s="83">
        <v>133</v>
      </c>
      <c r="AE290" s="83">
        <v>148</v>
      </c>
      <c r="AF290" s="83">
        <v>141</v>
      </c>
      <c r="AG290" s="83">
        <v>144</v>
      </c>
      <c r="AH290" s="83">
        <v>141</v>
      </c>
      <c r="AI290" s="83">
        <v>135</v>
      </c>
      <c r="AJ290" s="83">
        <v>134</v>
      </c>
      <c r="AK290" s="83">
        <v>136</v>
      </c>
      <c r="AL290" s="83">
        <v>117</v>
      </c>
      <c r="AM290" s="83">
        <v>130</v>
      </c>
      <c r="AN290" s="83">
        <v>120</v>
      </c>
      <c r="AO290" s="83">
        <v>116</v>
      </c>
      <c r="AP290" s="83">
        <v>110</v>
      </c>
      <c r="AQ290" s="83">
        <v>122</v>
      </c>
      <c r="AR290" s="83">
        <v>120</v>
      </c>
      <c r="AS290" s="83">
        <v>115</v>
      </c>
      <c r="AT290" s="83">
        <v>114</v>
      </c>
      <c r="AU290" s="83">
        <v>108</v>
      </c>
      <c r="AV290" s="83">
        <v>107</v>
      </c>
      <c r="AW290" s="83">
        <v>103</v>
      </c>
    </row>
    <row r="291" spans="1:49" x14ac:dyDescent="0.15">
      <c r="A291" s="83">
        <v>20200730</v>
      </c>
      <c r="B291" s="83">
        <v>76</v>
      </c>
      <c r="C291" s="83">
        <v>58</v>
      </c>
      <c r="D291" s="83">
        <v>58</v>
      </c>
      <c r="E291" s="83">
        <v>56</v>
      </c>
      <c r="F291" s="83">
        <v>52</v>
      </c>
      <c r="G291" s="83">
        <v>60</v>
      </c>
      <c r="H291" s="83">
        <v>58</v>
      </c>
      <c r="I291" s="83">
        <v>57</v>
      </c>
      <c r="J291" s="83">
        <v>55</v>
      </c>
      <c r="K291" s="83">
        <v>54</v>
      </c>
      <c r="L291" s="83">
        <v>53</v>
      </c>
      <c r="M291" s="83">
        <v>73</v>
      </c>
      <c r="N291" s="83">
        <v>94</v>
      </c>
      <c r="O291" s="83">
        <v>101</v>
      </c>
      <c r="P291" s="83">
        <v>121</v>
      </c>
      <c r="Q291" s="83">
        <v>126</v>
      </c>
      <c r="R291" s="83">
        <v>128</v>
      </c>
      <c r="S291" s="83">
        <v>148</v>
      </c>
      <c r="T291" s="83">
        <v>155</v>
      </c>
      <c r="U291" s="83">
        <v>148</v>
      </c>
      <c r="V291" s="83">
        <v>145</v>
      </c>
      <c r="W291" s="83">
        <v>148</v>
      </c>
      <c r="X291" s="83">
        <v>153</v>
      </c>
      <c r="Y291" s="83">
        <v>150</v>
      </c>
      <c r="Z291" s="83">
        <v>152</v>
      </c>
      <c r="AA291" s="83">
        <v>161</v>
      </c>
      <c r="AB291" s="83">
        <v>154</v>
      </c>
      <c r="AC291" s="83">
        <v>157</v>
      </c>
      <c r="AD291" s="83">
        <v>150</v>
      </c>
      <c r="AE291" s="83">
        <v>169</v>
      </c>
      <c r="AF291" s="83">
        <v>169</v>
      </c>
      <c r="AG291" s="83">
        <v>163</v>
      </c>
      <c r="AH291" s="83">
        <v>161</v>
      </c>
      <c r="AI291" s="83">
        <v>159</v>
      </c>
      <c r="AJ291" s="83">
        <v>153</v>
      </c>
      <c r="AK291" s="83">
        <v>149</v>
      </c>
      <c r="AL291" s="83">
        <v>133</v>
      </c>
      <c r="AM291" s="83">
        <v>151</v>
      </c>
      <c r="AN291" s="83">
        <v>144</v>
      </c>
      <c r="AO291" s="83">
        <v>139</v>
      </c>
      <c r="AP291" s="83">
        <v>134</v>
      </c>
      <c r="AQ291" s="83">
        <v>140</v>
      </c>
      <c r="AR291" s="83">
        <v>134</v>
      </c>
      <c r="AS291" s="83">
        <v>121</v>
      </c>
      <c r="AT291" s="83">
        <v>119</v>
      </c>
      <c r="AU291" s="83">
        <v>114</v>
      </c>
      <c r="AV291" s="83">
        <v>110</v>
      </c>
      <c r="AW291" s="83">
        <v>112</v>
      </c>
    </row>
    <row r="292" spans="1:49" x14ac:dyDescent="0.15">
      <c r="A292" s="83">
        <v>20200731</v>
      </c>
      <c r="B292" s="83">
        <v>76</v>
      </c>
      <c r="C292" s="83">
        <v>59</v>
      </c>
      <c r="D292" s="83">
        <v>61</v>
      </c>
      <c r="E292" s="83">
        <v>57</v>
      </c>
      <c r="F292" s="83">
        <v>53</v>
      </c>
      <c r="G292" s="83">
        <v>61</v>
      </c>
      <c r="H292" s="83">
        <v>59</v>
      </c>
      <c r="I292" s="83">
        <v>58</v>
      </c>
      <c r="J292" s="83">
        <v>54</v>
      </c>
      <c r="K292" s="83">
        <v>54</v>
      </c>
      <c r="L292" s="83">
        <v>53</v>
      </c>
      <c r="M292" s="83">
        <v>71</v>
      </c>
      <c r="N292" s="83">
        <v>104</v>
      </c>
      <c r="O292" s="83">
        <v>98</v>
      </c>
      <c r="P292" s="83">
        <v>112</v>
      </c>
      <c r="Q292" s="83">
        <v>122</v>
      </c>
      <c r="R292" s="83">
        <v>124</v>
      </c>
      <c r="S292" s="83">
        <v>144</v>
      </c>
      <c r="T292" s="83">
        <v>146</v>
      </c>
      <c r="U292" s="83">
        <v>143</v>
      </c>
      <c r="V292" s="83">
        <v>132</v>
      </c>
      <c r="W292" s="83">
        <v>146</v>
      </c>
      <c r="X292" s="83">
        <v>144</v>
      </c>
      <c r="Y292" s="83">
        <v>134</v>
      </c>
      <c r="Z292" s="83">
        <v>128</v>
      </c>
      <c r="AA292" s="83">
        <v>136</v>
      </c>
      <c r="AB292" s="83">
        <v>135</v>
      </c>
      <c r="AC292" s="83">
        <v>139</v>
      </c>
      <c r="AD292" s="83">
        <v>132</v>
      </c>
      <c r="AE292" s="83">
        <v>150</v>
      </c>
      <c r="AF292" s="83">
        <v>150</v>
      </c>
      <c r="AG292" s="83">
        <v>153</v>
      </c>
      <c r="AH292" s="83">
        <v>152</v>
      </c>
      <c r="AI292" s="83">
        <v>152</v>
      </c>
      <c r="AJ292" s="83">
        <v>149</v>
      </c>
      <c r="AK292" s="83">
        <v>148</v>
      </c>
      <c r="AL292" s="83">
        <v>129</v>
      </c>
      <c r="AM292" s="83">
        <v>141</v>
      </c>
      <c r="AN292" s="83">
        <v>134</v>
      </c>
      <c r="AO292" s="83">
        <v>136</v>
      </c>
      <c r="AP292" s="83">
        <v>130</v>
      </c>
      <c r="AQ292" s="83">
        <v>137</v>
      </c>
      <c r="AR292" s="83">
        <v>133</v>
      </c>
      <c r="AS292" s="83">
        <v>119</v>
      </c>
      <c r="AT292" s="83">
        <v>117</v>
      </c>
      <c r="AU292" s="83">
        <v>111</v>
      </c>
      <c r="AV292" s="83">
        <v>112</v>
      </c>
      <c r="AW292" s="83">
        <v>107</v>
      </c>
    </row>
    <row r="293" spans="1:49" x14ac:dyDescent="0.15">
      <c r="A293" s="72"/>
      <c r="B293" s="65">
        <f>AVERAGE(B262:B292)</f>
        <v>75.677419354838705</v>
      </c>
      <c r="C293" s="65">
        <f>AVERAGE(C262:C292)</f>
        <v>58.741935483870968</v>
      </c>
      <c r="D293" s="65">
        <f t="shared" ref="D293:AW293" si="10">AVERAGE(D262:D292)</f>
        <v>58.096774193548384</v>
      </c>
      <c r="E293" s="65">
        <f t="shared" si="10"/>
        <v>55.161290322580648</v>
      </c>
      <c r="F293" s="65">
        <f t="shared" si="10"/>
        <v>51.677419354838712</v>
      </c>
      <c r="G293" s="65">
        <f t="shared" si="10"/>
        <v>59.322580645161288</v>
      </c>
      <c r="H293" s="65">
        <f t="shared" si="10"/>
        <v>57.483870967741936</v>
      </c>
      <c r="I293" s="65">
        <f t="shared" si="10"/>
        <v>56.322580645161288</v>
      </c>
      <c r="J293" s="65">
        <f t="shared" si="10"/>
        <v>53.29032258064516</v>
      </c>
      <c r="K293" s="65">
        <f t="shared" si="10"/>
        <v>53.032258064516128</v>
      </c>
      <c r="L293" s="65">
        <f t="shared" si="10"/>
        <v>54.483870967741936</v>
      </c>
      <c r="M293" s="65">
        <f t="shared" si="10"/>
        <v>73.903225806451616</v>
      </c>
      <c r="N293" s="65">
        <f t="shared" si="10"/>
        <v>99.41935483870968</v>
      </c>
      <c r="O293" s="65">
        <f t="shared" si="10"/>
        <v>101.2258064516129</v>
      </c>
      <c r="P293" s="65">
        <f t="shared" si="10"/>
        <v>117.16129032258064</v>
      </c>
      <c r="Q293" s="65">
        <f t="shared" si="10"/>
        <v>123</v>
      </c>
      <c r="R293" s="65">
        <f t="shared" si="10"/>
        <v>125.06451612903226</v>
      </c>
      <c r="S293" s="65">
        <f t="shared" si="10"/>
        <v>145.45161290322579</v>
      </c>
      <c r="T293" s="65">
        <f t="shared" si="10"/>
        <v>153.54838709677421</v>
      </c>
      <c r="U293" s="65">
        <f t="shared" si="10"/>
        <v>149.83870967741936</v>
      </c>
      <c r="V293" s="65">
        <f t="shared" si="10"/>
        <v>145.38709677419354</v>
      </c>
      <c r="W293" s="65">
        <f t="shared" si="10"/>
        <v>146.41935483870967</v>
      </c>
      <c r="X293" s="65">
        <f t="shared" si="10"/>
        <v>147.25806451612902</v>
      </c>
      <c r="Y293" s="65">
        <f t="shared" si="10"/>
        <v>148.09677419354838</v>
      </c>
      <c r="Z293" s="65">
        <f t="shared" si="10"/>
        <v>143.51612903225808</v>
      </c>
      <c r="AA293" s="65">
        <f t="shared" si="10"/>
        <v>151.2258064516129</v>
      </c>
      <c r="AB293" s="65">
        <f t="shared" si="10"/>
        <v>149</v>
      </c>
      <c r="AC293" s="65">
        <f t="shared" si="10"/>
        <v>146.38709677419354</v>
      </c>
      <c r="AD293" s="65">
        <f t="shared" si="10"/>
        <v>138.96774193548387</v>
      </c>
      <c r="AE293" s="65">
        <f t="shared" si="10"/>
        <v>151.61290322580646</v>
      </c>
      <c r="AF293" s="65">
        <f t="shared" si="10"/>
        <v>148.06451612903226</v>
      </c>
      <c r="AG293" s="65">
        <f t="shared" si="10"/>
        <v>145.48387096774192</v>
      </c>
      <c r="AH293" s="65">
        <f t="shared" si="10"/>
        <v>140.09677419354838</v>
      </c>
      <c r="AI293" s="65">
        <f t="shared" si="10"/>
        <v>137.03225806451613</v>
      </c>
      <c r="AJ293" s="65">
        <f t="shared" si="10"/>
        <v>135.12903225806451</v>
      </c>
      <c r="AK293" s="65">
        <f t="shared" si="10"/>
        <v>133.48387096774192</v>
      </c>
      <c r="AL293" s="65">
        <f t="shared" si="10"/>
        <v>122.83870967741936</v>
      </c>
      <c r="AM293" s="65">
        <f t="shared" si="10"/>
        <v>133.32258064516128</v>
      </c>
      <c r="AN293" s="65">
        <f t="shared" si="10"/>
        <v>126.19354838709677</v>
      </c>
      <c r="AO293" s="65">
        <f t="shared" si="10"/>
        <v>124.12903225806451</v>
      </c>
      <c r="AP293" s="65">
        <f t="shared" si="10"/>
        <v>115.06451612903226</v>
      </c>
      <c r="AQ293" s="65">
        <f t="shared" si="10"/>
        <v>125.54838709677419</v>
      </c>
      <c r="AR293" s="65">
        <f t="shared" si="10"/>
        <v>121.70967741935483</v>
      </c>
      <c r="AS293" s="65">
        <f t="shared" si="10"/>
        <v>114.6774193548387</v>
      </c>
      <c r="AT293" s="65">
        <f t="shared" si="10"/>
        <v>110.58064516129032</v>
      </c>
      <c r="AU293" s="65">
        <f t="shared" si="10"/>
        <v>107.29032258064517</v>
      </c>
      <c r="AV293" s="65">
        <f t="shared" si="10"/>
        <v>105.25806451612904</v>
      </c>
      <c r="AW293" s="65">
        <f t="shared" si="10"/>
        <v>103.16129032258064</v>
      </c>
    </row>
    <row r="294" spans="1:49" x14ac:dyDescent="0.15">
      <c r="A294" s="72"/>
      <c r="B294" s="173">
        <f>AVERAGE(B262:C293)</f>
        <v>67.209677419354847</v>
      </c>
      <c r="C294" s="173"/>
      <c r="D294" s="173">
        <f>AVERAGE(D262:E293)</f>
        <v>56.629032258064512</v>
      </c>
      <c r="E294" s="173"/>
      <c r="F294" s="173">
        <f>AVERAGE(F262:G293)</f>
        <v>55.5</v>
      </c>
      <c r="G294" s="173"/>
      <c r="H294" s="173">
        <f>AVERAGE(H262:I293)</f>
        <v>56.903225806451616</v>
      </c>
      <c r="I294" s="173"/>
      <c r="J294" s="173">
        <f>AVERAGE(J262:K293)</f>
        <v>53.161290322580648</v>
      </c>
      <c r="K294" s="173"/>
      <c r="L294" s="173">
        <f>AVERAGE(L262:M293)</f>
        <v>64.193548387096769</v>
      </c>
      <c r="M294" s="173"/>
      <c r="N294" s="173">
        <f>AVERAGE(N262:O293)</f>
        <v>100.32258064516128</v>
      </c>
      <c r="O294" s="173"/>
      <c r="P294" s="173">
        <f>AVERAGE(P262:Q293)</f>
        <v>120.08064516129032</v>
      </c>
      <c r="Q294" s="173"/>
      <c r="R294" s="173">
        <f>AVERAGE(R262:S293)</f>
        <v>135.25806451612902</v>
      </c>
      <c r="S294" s="173"/>
      <c r="T294" s="173">
        <f>AVERAGE(T262:U293)</f>
        <v>151.69354838709677</v>
      </c>
      <c r="U294" s="173"/>
      <c r="V294" s="173">
        <f>AVERAGE(V262:W293)</f>
        <v>145.90322580645162</v>
      </c>
      <c r="W294" s="173"/>
      <c r="X294" s="173">
        <f>AVERAGE(X262:Y293)</f>
        <v>147.67741935483872</v>
      </c>
      <c r="Y294" s="173"/>
      <c r="Z294" s="173">
        <f>AVERAGE(Z262:AA293)</f>
        <v>147.37096774193549</v>
      </c>
      <c r="AA294" s="173"/>
      <c r="AB294" s="173">
        <f>AVERAGE(AB262:AC293)</f>
        <v>147.69354838709677</v>
      </c>
      <c r="AC294" s="173"/>
      <c r="AD294" s="173">
        <f>AVERAGE(AD262:AE293)</f>
        <v>145.29032258064515</v>
      </c>
      <c r="AE294" s="173"/>
      <c r="AF294" s="173">
        <f>AVERAGE(AF262:AG293)</f>
        <v>146.7741935483871</v>
      </c>
      <c r="AG294" s="173"/>
      <c r="AH294" s="173">
        <f>AVERAGE(AH262:AI293)</f>
        <v>138.56451612903228</v>
      </c>
      <c r="AI294" s="173"/>
      <c r="AJ294" s="173">
        <f>AVERAGE(AJ262:AK293)</f>
        <v>134.30645161290323</v>
      </c>
      <c r="AK294" s="173"/>
      <c r="AL294" s="173">
        <f>AVERAGE(AL262:AM293)</f>
        <v>128.08064516129033</v>
      </c>
      <c r="AM294" s="173"/>
      <c r="AN294" s="173">
        <f>AVERAGE(AN262:AO293)</f>
        <v>125.16129032258064</v>
      </c>
      <c r="AO294" s="173"/>
      <c r="AP294" s="173">
        <f>AVERAGE(AP262:AQ293)</f>
        <v>120.30645161290323</v>
      </c>
      <c r="AQ294" s="173"/>
      <c r="AR294" s="173">
        <f>AVERAGE(AR262:AS293)</f>
        <v>118.19354838709678</v>
      </c>
      <c r="AS294" s="173"/>
      <c r="AT294" s="173">
        <f>AVERAGE(AT262:AU293)</f>
        <v>108.93548387096774</v>
      </c>
      <c r="AU294" s="173"/>
      <c r="AV294" s="173">
        <f>AVERAGE(AV262:AW293)</f>
        <v>104.20967741935483</v>
      </c>
      <c r="AW294" s="173"/>
    </row>
    <row r="295" spans="1:49" x14ac:dyDescent="0.15">
      <c r="A295" s="83">
        <v>20200801</v>
      </c>
      <c r="B295" s="83">
        <v>75</v>
      </c>
      <c r="C295" s="83">
        <v>58</v>
      </c>
      <c r="D295" s="83">
        <v>59</v>
      </c>
      <c r="E295" s="83">
        <v>55</v>
      </c>
      <c r="F295" s="83">
        <v>52</v>
      </c>
      <c r="G295" s="83">
        <v>58</v>
      </c>
      <c r="H295" s="83">
        <v>57</v>
      </c>
      <c r="I295" s="83">
        <v>58</v>
      </c>
      <c r="J295" s="83">
        <v>54</v>
      </c>
      <c r="K295" s="83">
        <v>54</v>
      </c>
      <c r="L295" s="83">
        <v>53</v>
      </c>
      <c r="M295" s="83">
        <v>63</v>
      </c>
      <c r="N295" s="83">
        <v>110</v>
      </c>
      <c r="O295" s="83">
        <v>113</v>
      </c>
      <c r="P295" s="83">
        <v>122</v>
      </c>
      <c r="Q295" s="83">
        <v>131</v>
      </c>
      <c r="R295" s="83">
        <v>131</v>
      </c>
      <c r="S295" s="83">
        <v>155</v>
      </c>
      <c r="T295" s="83">
        <v>168</v>
      </c>
      <c r="U295" s="83">
        <v>158</v>
      </c>
      <c r="V295" s="83">
        <v>151</v>
      </c>
      <c r="W295" s="83">
        <v>151</v>
      </c>
      <c r="X295" s="83">
        <v>155</v>
      </c>
      <c r="Y295" s="83">
        <v>169</v>
      </c>
      <c r="Z295" s="83">
        <v>157</v>
      </c>
      <c r="AA295" s="83">
        <v>170</v>
      </c>
      <c r="AB295" s="83">
        <v>167</v>
      </c>
      <c r="AC295" s="83">
        <v>171</v>
      </c>
      <c r="AD295" s="83">
        <v>161</v>
      </c>
      <c r="AE295" s="83">
        <v>174</v>
      </c>
      <c r="AF295" s="83">
        <v>177</v>
      </c>
      <c r="AG295" s="83">
        <v>165</v>
      </c>
      <c r="AH295" s="83">
        <v>160</v>
      </c>
      <c r="AI295" s="83">
        <v>154</v>
      </c>
      <c r="AJ295" s="83">
        <v>156</v>
      </c>
      <c r="AK295" s="83">
        <v>152</v>
      </c>
      <c r="AL295" s="83">
        <v>134</v>
      </c>
      <c r="AM295" s="83">
        <v>144</v>
      </c>
      <c r="AN295" s="83">
        <v>141</v>
      </c>
      <c r="AO295" s="83">
        <v>141</v>
      </c>
      <c r="AP295" s="83">
        <v>133</v>
      </c>
      <c r="AQ295" s="83">
        <v>144</v>
      </c>
      <c r="AR295" s="83">
        <v>132</v>
      </c>
      <c r="AS295" s="83">
        <v>121</v>
      </c>
      <c r="AT295" s="83">
        <v>118</v>
      </c>
      <c r="AU295" s="83">
        <v>115</v>
      </c>
      <c r="AV295" s="83">
        <v>112</v>
      </c>
      <c r="AW295" s="83">
        <v>110</v>
      </c>
    </row>
    <row r="296" spans="1:49" x14ac:dyDescent="0.15">
      <c r="A296" s="83">
        <v>20200802</v>
      </c>
      <c r="B296" s="83">
        <v>78</v>
      </c>
      <c r="C296" s="83">
        <v>61</v>
      </c>
      <c r="D296" s="83">
        <v>59</v>
      </c>
      <c r="E296" s="83">
        <v>57</v>
      </c>
      <c r="F296" s="83">
        <v>53</v>
      </c>
      <c r="G296" s="83">
        <v>59</v>
      </c>
      <c r="H296" s="83">
        <v>57</v>
      </c>
      <c r="I296" s="83">
        <v>57</v>
      </c>
      <c r="J296" s="83">
        <v>53</v>
      </c>
      <c r="K296" s="83">
        <v>51</v>
      </c>
      <c r="L296" s="83">
        <v>53</v>
      </c>
      <c r="M296" s="83">
        <v>70</v>
      </c>
      <c r="N296" s="83">
        <v>103</v>
      </c>
      <c r="O296" s="83">
        <v>103</v>
      </c>
      <c r="P296" s="83">
        <v>127</v>
      </c>
      <c r="Q296" s="83">
        <v>136</v>
      </c>
      <c r="R296" s="83">
        <v>135</v>
      </c>
      <c r="S296" s="83">
        <v>155</v>
      </c>
      <c r="T296" s="83">
        <v>163</v>
      </c>
      <c r="U296" s="83">
        <v>167</v>
      </c>
      <c r="V296" s="83">
        <v>169</v>
      </c>
      <c r="W296" s="83">
        <v>166</v>
      </c>
      <c r="X296" s="83">
        <v>168</v>
      </c>
      <c r="Y296" s="83">
        <v>178</v>
      </c>
      <c r="Z296" s="83">
        <v>166</v>
      </c>
      <c r="AA296" s="83">
        <v>179</v>
      </c>
      <c r="AB296" s="83">
        <v>177</v>
      </c>
      <c r="AC296" s="83">
        <v>181</v>
      </c>
      <c r="AD296" s="83">
        <v>168</v>
      </c>
      <c r="AE296" s="83">
        <v>184</v>
      </c>
      <c r="AF296" s="83">
        <v>183</v>
      </c>
      <c r="AG296" s="83">
        <v>176</v>
      </c>
      <c r="AH296" s="83">
        <v>170</v>
      </c>
      <c r="AI296" s="83">
        <v>162</v>
      </c>
      <c r="AJ296" s="83">
        <v>159</v>
      </c>
      <c r="AK296" s="83">
        <v>157</v>
      </c>
      <c r="AL296" s="83">
        <v>139</v>
      </c>
      <c r="AM296" s="83">
        <v>150</v>
      </c>
      <c r="AN296" s="83">
        <v>144</v>
      </c>
      <c r="AO296" s="83">
        <v>140</v>
      </c>
      <c r="AP296" s="83">
        <v>128</v>
      </c>
      <c r="AQ296" s="83">
        <v>142</v>
      </c>
      <c r="AR296" s="83">
        <v>132</v>
      </c>
      <c r="AS296" s="83">
        <v>124</v>
      </c>
      <c r="AT296" s="83">
        <v>122</v>
      </c>
      <c r="AU296" s="83">
        <v>120</v>
      </c>
      <c r="AV296" s="83">
        <v>114</v>
      </c>
      <c r="AW296" s="83">
        <v>113</v>
      </c>
    </row>
    <row r="297" spans="1:49" x14ac:dyDescent="0.15">
      <c r="A297" s="83">
        <v>20200803</v>
      </c>
      <c r="B297" s="83">
        <v>81</v>
      </c>
      <c r="C297" s="83">
        <v>61</v>
      </c>
      <c r="D297" s="83">
        <v>61</v>
      </c>
      <c r="E297" s="83">
        <v>60</v>
      </c>
      <c r="F297" s="83">
        <v>54</v>
      </c>
      <c r="G297" s="83">
        <v>63</v>
      </c>
      <c r="H297" s="83">
        <v>63</v>
      </c>
      <c r="I297" s="83">
        <v>60</v>
      </c>
      <c r="J297" s="83">
        <v>59</v>
      </c>
      <c r="K297" s="83">
        <v>60</v>
      </c>
      <c r="L297" s="83">
        <v>67</v>
      </c>
      <c r="M297" s="83">
        <v>81</v>
      </c>
      <c r="N297" s="83">
        <v>99</v>
      </c>
      <c r="O297" s="83">
        <v>106</v>
      </c>
      <c r="P297" s="83">
        <v>125</v>
      </c>
      <c r="Q297" s="83">
        <v>130</v>
      </c>
      <c r="R297" s="83">
        <v>131</v>
      </c>
      <c r="S297" s="83">
        <v>154</v>
      </c>
      <c r="T297" s="83">
        <v>164</v>
      </c>
      <c r="U297" s="83">
        <v>155</v>
      </c>
      <c r="V297" s="83">
        <v>155</v>
      </c>
      <c r="W297" s="83">
        <v>163</v>
      </c>
      <c r="X297" s="83">
        <v>167</v>
      </c>
      <c r="Y297" s="83">
        <v>168</v>
      </c>
      <c r="Z297" s="83">
        <v>166</v>
      </c>
      <c r="AA297" s="83">
        <v>170</v>
      </c>
      <c r="AB297" s="83">
        <v>168</v>
      </c>
      <c r="AC297" s="83">
        <v>163</v>
      </c>
      <c r="AD297" s="83">
        <v>163</v>
      </c>
      <c r="AE297" s="83">
        <v>177</v>
      </c>
      <c r="AF297" s="83">
        <v>176</v>
      </c>
      <c r="AG297" s="83">
        <v>176</v>
      </c>
      <c r="AH297" s="83">
        <v>164</v>
      </c>
      <c r="AI297" s="83">
        <v>165</v>
      </c>
      <c r="AJ297" s="83">
        <v>167</v>
      </c>
      <c r="AK297" s="83">
        <v>161</v>
      </c>
      <c r="AL297" s="83">
        <v>143</v>
      </c>
      <c r="AM297" s="83">
        <v>154</v>
      </c>
      <c r="AN297" s="83">
        <v>150</v>
      </c>
      <c r="AO297" s="83">
        <v>141</v>
      </c>
      <c r="AP297" s="83">
        <v>124</v>
      </c>
      <c r="AQ297" s="83">
        <v>135</v>
      </c>
      <c r="AR297" s="83">
        <v>134</v>
      </c>
      <c r="AS297" s="83">
        <v>128</v>
      </c>
      <c r="AT297" s="83">
        <v>120</v>
      </c>
      <c r="AU297" s="83">
        <v>119</v>
      </c>
      <c r="AV297" s="83">
        <v>115</v>
      </c>
      <c r="AW297" s="83">
        <v>114</v>
      </c>
    </row>
    <row r="298" spans="1:49" x14ac:dyDescent="0.15">
      <c r="A298" s="83">
        <v>20200804</v>
      </c>
      <c r="B298" s="83">
        <v>78</v>
      </c>
      <c r="C298" s="83">
        <v>66</v>
      </c>
      <c r="D298" s="83">
        <v>65</v>
      </c>
      <c r="E298" s="83">
        <v>61</v>
      </c>
      <c r="F298" s="83">
        <v>57</v>
      </c>
      <c r="G298" s="83">
        <v>65</v>
      </c>
      <c r="H298" s="83">
        <v>65</v>
      </c>
      <c r="I298" s="83">
        <v>62</v>
      </c>
      <c r="J298" s="83">
        <v>60</v>
      </c>
      <c r="K298" s="83">
        <v>60</v>
      </c>
      <c r="L298" s="83">
        <v>60</v>
      </c>
      <c r="M298" s="83">
        <v>73</v>
      </c>
      <c r="N298" s="83">
        <v>111</v>
      </c>
      <c r="O298" s="83">
        <v>108</v>
      </c>
      <c r="P298" s="83">
        <v>128</v>
      </c>
      <c r="Q298" s="83">
        <v>145</v>
      </c>
      <c r="R298" s="83">
        <v>138</v>
      </c>
      <c r="S298" s="83">
        <v>165</v>
      </c>
      <c r="T298" s="83">
        <v>182</v>
      </c>
      <c r="U298" s="83">
        <v>177</v>
      </c>
      <c r="V298" s="83">
        <v>179</v>
      </c>
      <c r="W298" s="83">
        <v>174</v>
      </c>
      <c r="X298" s="83">
        <v>177</v>
      </c>
      <c r="Y298" s="83">
        <v>179</v>
      </c>
      <c r="Z298" s="83">
        <v>171</v>
      </c>
      <c r="AA298" s="83">
        <v>185</v>
      </c>
      <c r="AB298" s="83">
        <v>182</v>
      </c>
      <c r="AC298" s="83">
        <v>180</v>
      </c>
      <c r="AD298" s="83">
        <v>165</v>
      </c>
      <c r="AE298" s="83">
        <v>187</v>
      </c>
      <c r="AF298" s="83">
        <v>184</v>
      </c>
      <c r="AG298" s="83">
        <v>179</v>
      </c>
      <c r="AH298" s="83">
        <v>178</v>
      </c>
      <c r="AI298" s="83">
        <v>170</v>
      </c>
      <c r="AJ298" s="83">
        <v>163</v>
      </c>
      <c r="AK298" s="83">
        <v>156</v>
      </c>
      <c r="AL298" s="83">
        <v>144</v>
      </c>
      <c r="AM298" s="83">
        <v>155</v>
      </c>
      <c r="AN298" s="83">
        <v>150</v>
      </c>
      <c r="AO298" s="83">
        <v>141</v>
      </c>
      <c r="AP298" s="83">
        <v>131</v>
      </c>
      <c r="AQ298" s="83">
        <v>137</v>
      </c>
      <c r="AR298" s="83">
        <v>140</v>
      </c>
      <c r="AS298" s="83">
        <v>134</v>
      </c>
      <c r="AT298" s="83">
        <v>128</v>
      </c>
      <c r="AU298" s="83">
        <v>120</v>
      </c>
      <c r="AV298" s="83">
        <v>118</v>
      </c>
      <c r="AW298" s="83">
        <v>113</v>
      </c>
    </row>
    <row r="299" spans="1:49" x14ac:dyDescent="0.15">
      <c r="A299" s="83">
        <v>20200805</v>
      </c>
      <c r="B299" s="83">
        <v>81</v>
      </c>
      <c r="C299" s="83">
        <v>63</v>
      </c>
      <c r="D299" s="83">
        <v>61</v>
      </c>
      <c r="E299" s="83">
        <v>61</v>
      </c>
      <c r="F299" s="83">
        <v>56</v>
      </c>
      <c r="G299" s="83">
        <v>65</v>
      </c>
      <c r="H299" s="83">
        <v>62</v>
      </c>
      <c r="I299" s="83">
        <v>61</v>
      </c>
      <c r="J299" s="83">
        <v>59</v>
      </c>
      <c r="K299" s="83">
        <v>56</v>
      </c>
      <c r="L299" s="83">
        <v>54</v>
      </c>
      <c r="M299" s="83">
        <v>84</v>
      </c>
      <c r="N299" s="83">
        <v>104</v>
      </c>
      <c r="O299" s="83">
        <v>109</v>
      </c>
      <c r="P299" s="83">
        <v>127</v>
      </c>
      <c r="Q299" s="83">
        <v>135</v>
      </c>
      <c r="R299" s="83">
        <v>138</v>
      </c>
      <c r="S299" s="83">
        <v>167</v>
      </c>
      <c r="T299" s="83">
        <v>178</v>
      </c>
      <c r="U299" s="83">
        <v>173</v>
      </c>
      <c r="V299" s="83">
        <v>170</v>
      </c>
      <c r="W299" s="83">
        <v>172</v>
      </c>
      <c r="X299" s="83">
        <v>176</v>
      </c>
      <c r="Y299" s="83">
        <v>174</v>
      </c>
      <c r="Z299" s="83">
        <v>172</v>
      </c>
      <c r="AA299" s="83">
        <v>189</v>
      </c>
      <c r="AB299" s="83">
        <v>171</v>
      </c>
      <c r="AC299" s="83">
        <v>174</v>
      </c>
      <c r="AD299" s="83">
        <v>170</v>
      </c>
      <c r="AE299" s="83">
        <v>188</v>
      </c>
      <c r="AF299" s="83">
        <v>186</v>
      </c>
      <c r="AG299" s="83">
        <v>178</v>
      </c>
      <c r="AH299" s="83">
        <v>179</v>
      </c>
      <c r="AI299" s="83">
        <v>172</v>
      </c>
      <c r="AJ299" s="83">
        <v>164</v>
      </c>
      <c r="AK299" s="83">
        <v>160</v>
      </c>
      <c r="AL299" s="83">
        <v>144</v>
      </c>
      <c r="AM299" s="83">
        <v>160</v>
      </c>
      <c r="AN299" s="83">
        <v>147</v>
      </c>
      <c r="AO299" s="83">
        <v>143</v>
      </c>
      <c r="AP299" s="83">
        <v>138</v>
      </c>
      <c r="AQ299" s="83">
        <v>145</v>
      </c>
      <c r="AR299" s="83">
        <v>136</v>
      </c>
      <c r="AS299" s="83">
        <v>128</v>
      </c>
      <c r="AT299" s="83">
        <v>123</v>
      </c>
      <c r="AU299" s="83">
        <v>119</v>
      </c>
      <c r="AV299" s="83">
        <v>116</v>
      </c>
      <c r="AW299" s="83">
        <v>115</v>
      </c>
    </row>
    <row r="300" spans="1:49" x14ac:dyDescent="0.15">
      <c r="A300" s="83">
        <v>20200806</v>
      </c>
      <c r="B300" s="83">
        <v>80</v>
      </c>
      <c r="C300" s="83">
        <v>64</v>
      </c>
      <c r="D300" s="83">
        <v>62</v>
      </c>
      <c r="E300" s="83">
        <v>60</v>
      </c>
      <c r="F300" s="83">
        <v>59</v>
      </c>
      <c r="G300" s="83">
        <v>63</v>
      </c>
      <c r="H300" s="83">
        <v>63</v>
      </c>
      <c r="I300" s="83">
        <v>61</v>
      </c>
      <c r="J300" s="83">
        <v>58</v>
      </c>
      <c r="K300" s="83">
        <v>56</v>
      </c>
      <c r="L300" s="83">
        <v>57</v>
      </c>
      <c r="M300" s="83">
        <v>68</v>
      </c>
      <c r="N300" s="83">
        <v>109</v>
      </c>
      <c r="O300" s="83">
        <v>105</v>
      </c>
      <c r="P300" s="83">
        <v>125</v>
      </c>
      <c r="Q300" s="83">
        <v>131</v>
      </c>
      <c r="R300" s="83">
        <v>136</v>
      </c>
      <c r="S300" s="83">
        <v>167</v>
      </c>
      <c r="T300" s="83">
        <v>175</v>
      </c>
      <c r="U300" s="83">
        <v>175</v>
      </c>
      <c r="V300" s="83">
        <v>177</v>
      </c>
      <c r="W300" s="83">
        <v>184</v>
      </c>
      <c r="X300" s="83">
        <v>182</v>
      </c>
      <c r="Y300" s="83">
        <v>186</v>
      </c>
      <c r="Z300" s="83">
        <v>181</v>
      </c>
      <c r="AA300" s="83">
        <v>188</v>
      </c>
      <c r="AB300" s="83">
        <v>189</v>
      </c>
      <c r="AC300" s="83">
        <v>193</v>
      </c>
      <c r="AD300" s="83">
        <v>181</v>
      </c>
      <c r="AE300" s="83">
        <v>199</v>
      </c>
      <c r="AF300" s="83">
        <v>187</v>
      </c>
      <c r="AG300" s="83">
        <v>182</v>
      </c>
      <c r="AH300" s="83">
        <v>175</v>
      </c>
      <c r="AI300" s="83">
        <v>169</v>
      </c>
      <c r="AJ300" s="83">
        <v>165</v>
      </c>
      <c r="AK300" s="83">
        <v>164</v>
      </c>
      <c r="AL300" s="83">
        <v>139</v>
      </c>
      <c r="AM300" s="83">
        <v>160</v>
      </c>
      <c r="AN300" s="83">
        <v>151</v>
      </c>
      <c r="AO300" s="83">
        <v>148</v>
      </c>
      <c r="AP300" s="83">
        <v>139</v>
      </c>
      <c r="AQ300" s="83">
        <v>144</v>
      </c>
      <c r="AR300" s="83">
        <v>138</v>
      </c>
      <c r="AS300" s="83">
        <v>128</v>
      </c>
      <c r="AT300" s="83">
        <v>128</v>
      </c>
      <c r="AU300" s="83">
        <v>123</v>
      </c>
      <c r="AV300" s="83">
        <v>122</v>
      </c>
      <c r="AW300" s="83">
        <v>118</v>
      </c>
    </row>
    <row r="301" spans="1:49" x14ac:dyDescent="0.15">
      <c r="A301" s="83">
        <v>20200807</v>
      </c>
      <c r="B301" s="83">
        <v>80</v>
      </c>
      <c r="C301" s="83">
        <v>68</v>
      </c>
      <c r="D301" s="83">
        <v>68</v>
      </c>
      <c r="E301" s="83">
        <v>65</v>
      </c>
      <c r="F301" s="83">
        <v>60</v>
      </c>
      <c r="G301" s="83">
        <v>67</v>
      </c>
      <c r="H301" s="83">
        <v>65</v>
      </c>
      <c r="I301" s="83">
        <v>63</v>
      </c>
      <c r="J301" s="83">
        <v>61</v>
      </c>
      <c r="K301" s="83">
        <v>61</v>
      </c>
      <c r="L301" s="83">
        <v>60</v>
      </c>
      <c r="M301" s="83">
        <v>74</v>
      </c>
      <c r="N301" s="83">
        <v>110</v>
      </c>
      <c r="O301" s="83">
        <v>114</v>
      </c>
      <c r="P301" s="83">
        <v>133</v>
      </c>
      <c r="Q301" s="83">
        <v>132</v>
      </c>
      <c r="R301" s="83">
        <v>134</v>
      </c>
      <c r="S301" s="83">
        <v>156</v>
      </c>
      <c r="T301" s="83">
        <v>164</v>
      </c>
      <c r="U301" s="83">
        <v>153</v>
      </c>
      <c r="V301" s="83">
        <v>154</v>
      </c>
      <c r="W301" s="83">
        <v>153</v>
      </c>
      <c r="X301" s="83">
        <v>151</v>
      </c>
      <c r="Y301" s="83">
        <v>153</v>
      </c>
      <c r="Z301" s="83">
        <v>142</v>
      </c>
      <c r="AA301" s="83">
        <v>147</v>
      </c>
      <c r="AB301" s="83">
        <v>143</v>
      </c>
      <c r="AC301" s="83">
        <v>140</v>
      </c>
      <c r="AD301" s="83">
        <v>139</v>
      </c>
      <c r="AE301" s="83">
        <v>146</v>
      </c>
      <c r="AF301" s="83">
        <v>144</v>
      </c>
      <c r="AG301" s="83">
        <v>142</v>
      </c>
      <c r="AH301" s="83">
        <v>135</v>
      </c>
      <c r="AI301" s="83">
        <v>132</v>
      </c>
      <c r="AJ301" s="83">
        <v>136</v>
      </c>
      <c r="AK301" s="83">
        <v>148</v>
      </c>
      <c r="AL301" s="83">
        <v>132</v>
      </c>
      <c r="AM301" s="83">
        <v>140</v>
      </c>
      <c r="AN301" s="83">
        <v>130</v>
      </c>
      <c r="AO301" s="83">
        <v>119</v>
      </c>
      <c r="AP301" s="83">
        <v>116</v>
      </c>
      <c r="AQ301" s="83">
        <v>124</v>
      </c>
      <c r="AR301" s="83">
        <v>124</v>
      </c>
      <c r="AS301" s="83">
        <v>118</v>
      </c>
      <c r="AT301" s="83">
        <v>114</v>
      </c>
      <c r="AU301" s="83">
        <v>113</v>
      </c>
      <c r="AV301" s="83">
        <v>111</v>
      </c>
      <c r="AW301" s="83">
        <v>109</v>
      </c>
    </row>
    <row r="302" spans="1:49" x14ac:dyDescent="0.15">
      <c r="A302" s="83">
        <v>20200808</v>
      </c>
      <c r="B302" s="83">
        <v>78</v>
      </c>
      <c r="C302" s="83">
        <v>60</v>
      </c>
      <c r="D302" s="83">
        <v>60</v>
      </c>
      <c r="E302" s="83">
        <v>56</v>
      </c>
      <c r="F302" s="83">
        <v>55</v>
      </c>
      <c r="G302" s="83">
        <v>62</v>
      </c>
      <c r="H302" s="83">
        <v>58</v>
      </c>
      <c r="I302" s="83">
        <v>57</v>
      </c>
      <c r="J302" s="83">
        <v>54</v>
      </c>
      <c r="K302" s="83">
        <v>55</v>
      </c>
      <c r="L302" s="83">
        <v>52</v>
      </c>
      <c r="M302" s="83">
        <v>72</v>
      </c>
      <c r="N302" s="83">
        <v>97</v>
      </c>
      <c r="O302" s="83">
        <v>99</v>
      </c>
      <c r="P302" s="83">
        <v>116</v>
      </c>
      <c r="Q302" s="83">
        <v>130</v>
      </c>
      <c r="R302" s="83">
        <v>126</v>
      </c>
      <c r="S302" s="83">
        <v>145</v>
      </c>
      <c r="T302" s="83">
        <v>151</v>
      </c>
      <c r="U302" s="83">
        <v>145</v>
      </c>
      <c r="V302" s="83">
        <v>139</v>
      </c>
      <c r="W302" s="83">
        <v>144</v>
      </c>
      <c r="X302" s="83">
        <v>141</v>
      </c>
      <c r="Y302" s="83">
        <v>144</v>
      </c>
      <c r="Z302" s="83">
        <v>141</v>
      </c>
      <c r="AA302" s="83">
        <v>149</v>
      </c>
      <c r="AB302" s="83">
        <v>150</v>
      </c>
      <c r="AC302" s="83">
        <v>139</v>
      </c>
      <c r="AD302" s="83">
        <v>137</v>
      </c>
      <c r="AE302" s="83">
        <v>145</v>
      </c>
      <c r="AF302" s="83">
        <v>145</v>
      </c>
      <c r="AG302" s="83">
        <v>144</v>
      </c>
      <c r="AH302" s="83">
        <v>141</v>
      </c>
      <c r="AI302" s="83">
        <v>136</v>
      </c>
      <c r="AJ302" s="83">
        <v>135</v>
      </c>
      <c r="AK302" s="83">
        <v>133</v>
      </c>
      <c r="AL302" s="83">
        <v>121</v>
      </c>
      <c r="AM302" s="83">
        <v>133</v>
      </c>
      <c r="AN302" s="83">
        <v>130</v>
      </c>
      <c r="AO302" s="83">
        <v>134</v>
      </c>
      <c r="AP302" s="83">
        <v>122</v>
      </c>
      <c r="AQ302" s="83">
        <v>134</v>
      </c>
      <c r="AR302" s="83">
        <v>128</v>
      </c>
      <c r="AS302" s="83">
        <v>120</v>
      </c>
      <c r="AT302" s="83">
        <v>116</v>
      </c>
      <c r="AU302" s="83">
        <v>117</v>
      </c>
      <c r="AV302" s="83">
        <v>112</v>
      </c>
      <c r="AW302" s="83">
        <v>109</v>
      </c>
    </row>
    <row r="303" spans="1:49" x14ac:dyDescent="0.15">
      <c r="A303" s="83">
        <v>20200809</v>
      </c>
      <c r="B303" s="83">
        <v>75</v>
      </c>
      <c r="C303" s="83">
        <v>60</v>
      </c>
      <c r="D303" s="83">
        <v>60</v>
      </c>
      <c r="E303" s="83">
        <v>59</v>
      </c>
      <c r="F303" s="83">
        <v>54</v>
      </c>
      <c r="G303" s="83">
        <v>63</v>
      </c>
      <c r="H303" s="83">
        <v>60</v>
      </c>
      <c r="I303" s="83">
        <v>59</v>
      </c>
      <c r="J303" s="83">
        <v>56</v>
      </c>
      <c r="K303" s="83">
        <v>56</v>
      </c>
      <c r="L303" s="83">
        <v>55</v>
      </c>
      <c r="M303" s="83">
        <v>85</v>
      </c>
      <c r="N303" s="83">
        <v>95</v>
      </c>
      <c r="O303" s="83">
        <v>100</v>
      </c>
      <c r="P303" s="83">
        <v>123</v>
      </c>
      <c r="Q303" s="83">
        <v>129</v>
      </c>
      <c r="R303" s="83">
        <v>131</v>
      </c>
      <c r="S303" s="83">
        <v>153</v>
      </c>
      <c r="T303" s="83">
        <v>161</v>
      </c>
      <c r="U303" s="83">
        <v>152</v>
      </c>
      <c r="V303" s="83">
        <v>158</v>
      </c>
      <c r="W303" s="83">
        <v>156</v>
      </c>
      <c r="X303" s="83">
        <v>157</v>
      </c>
      <c r="Y303" s="83">
        <v>162</v>
      </c>
      <c r="Z303" s="83">
        <v>154</v>
      </c>
      <c r="AA303" s="83">
        <v>155</v>
      </c>
      <c r="AB303" s="83">
        <v>157</v>
      </c>
      <c r="AC303" s="83">
        <v>158</v>
      </c>
      <c r="AD303" s="83">
        <v>144</v>
      </c>
      <c r="AE303" s="83">
        <v>158</v>
      </c>
      <c r="AF303" s="83">
        <v>161</v>
      </c>
      <c r="AG303" s="83">
        <v>160</v>
      </c>
      <c r="AH303" s="83">
        <v>165</v>
      </c>
      <c r="AI303" s="83">
        <v>155</v>
      </c>
      <c r="AJ303" s="83">
        <v>150</v>
      </c>
      <c r="AK303" s="83">
        <v>150</v>
      </c>
      <c r="AL303" s="83">
        <v>138</v>
      </c>
      <c r="AM303" s="83">
        <v>148</v>
      </c>
      <c r="AN303" s="83">
        <v>139</v>
      </c>
      <c r="AO303" s="83">
        <v>134</v>
      </c>
      <c r="AP303" s="83">
        <v>128</v>
      </c>
      <c r="AQ303" s="83">
        <v>135</v>
      </c>
      <c r="AR303" s="83">
        <v>131</v>
      </c>
      <c r="AS303" s="83">
        <v>123</v>
      </c>
      <c r="AT303" s="83">
        <v>119</v>
      </c>
      <c r="AU303" s="83">
        <v>117</v>
      </c>
      <c r="AV303" s="83">
        <v>113</v>
      </c>
      <c r="AW303" s="83">
        <v>113</v>
      </c>
    </row>
    <row r="304" spans="1:49" x14ac:dyDescent="0.15">
      <c r="A304" s="83">
        <v>20200810</v>
      </c>
      <c r="B304" s="83">
        <v>84</v>
      </c>
      <c r="C304" s="83">
        <v>63</v>
      </c>
      <c r="D304" s="83">
        <v>63</v>
      </c>
      <c r="E304" s="83">
        <v>60</v>
      </c>
      <c r="F304" s="83">
        <v>56</v>
      </c>
      <c r="G304" s="83">
        <v>63</v>
      </c>
      <c r="H304" s="83">
        <v>63</v>
      </c>
      <c r="I304" s="83">
        <v>60</v>
      </c>
      <c r="J304" s="83">
        <v>58</v>
      </c>
      <c r="K304" s="83">
        <v>58</v>
      </c>
      <c r="L304" s="83">
        <v>59</v>
      </c>
      <c r="M304" s="83">
        <v>73</v>
      </c>
      <c r="N304" s="83">
        <v>108</v>
      </c>
      <c r="O304" s="83">
        <v>108</v>
      </c>
      <c r="P304" s="83">
        <v>130</v>
      </c>
      <c r="Q304" s="83">
        <v>139</v>
      </c>
      <c r="R304" s="83">
        <v>142</v>
      </c>
      <c r="S304" s="83">
        <v>170</v>
      </c>
      <c r="T304" s="83">
        <v>176</v>
      </c>
      <c r="U304" s="83">
        <v>175</v>
      </c>
      <c r="V304" s="83">
        <v>168</v>
      </c>
      <c r="W304" s="83">
        <v>168</v>
      </c>
      <c r="X304" s="83">
        <v>178</v>
      </c>
      <c r="Y304" s="83">
        <v>188</v>
      </c>
      <c r="Z304" s="83">
        <v>177</v>
      </c>
      <c r="AA304" s="83">
        <v>188</v>
      </c>
      <c r="AB304" s="83">
        <v>192</v>
      </c>
      <c r="AC304" s="83">
        <v>187</v>
      </c>
      <c r="AD304" s="83">
        <v>179</v>
      </c>
      <c r="AE304" s="83">
        <v>190</v>
      </c>
      <c r="AF304" s="83">
        <v>190</v>
      </c>
      <c r="AG304" s="83">
        <v>192</v>
      </c>
      <c r="AH304" s="83">
        <v>191</v>
      </c>
      <c r="AI304" s="83">
        <v>194</v>
      </c>
      <c r="AJ304" s="83">
        <v>179</v>
      </c>
      <c r="AK304" s="83">
        <v>178</v>
      </c>
      <c r="AL304" s="83">
        <v>156</v>
      </c>
      <c r="AM304" s="83">
        <v>163</v>
      </c>
      <c r="AN304" s="83">
        <v>156</v>
      </c>
      <c r="AO304" s="83">
        <v>159</v>
      </c>
      <c r="AP304" s="83">
        <v>144</v>
      </c>
      <c r="AQ304" s="83">
        <v>156</v>
      </c>
      <c r="AR304" s="83">
        <v>150</v>
      </c>
      <c r="AS304" s="83">
        <v>139</v>
      </c>
      <c r="AT304" s="83">
        <v>136</v>
      </c>
      <c r="AU304" s="83">
        <v>131</v>
      </c>
      <c r="AV304" s="83">
        <v>131</v>
      </c>
      <c r="AW304" s="83">
        <v>125</v>
      </c>
    </row>
    <row r="305" spans="1:49" x14ac:dyDescent="0.15">
      <c r="A305" s="83">
        <v>20200811</v>
      </c>
      <c r="B305" s="83">
        <v>98</v>
      </c>
      <c r="C305" s="83">
        <v>101</v>
      </c>
      <c r="D305" s="83">
        <v>95</v>
      </c>
      <c r="E305" s="83">
        <v>91</v>
      </c>
      <c r="F305" s="83">
        <v>85</v>
      </c>
      <c r="G305" s="83">
        <v>94</v>
      </c>
      <c r="H305" s="83">
        <v>92</v>
      </c>
      <c r="I305" s="83">
        <v>92</v>
      </c>
      <c r="J305" s="83">
        <v>88</v>
      </c>
      <c r="K305" s="83">
        <v>87</v>
      </c>
      <c r="L305" s="83">
        <v>83</v>
      </c>
      <c r="M305" s="83">
        <v>108</v>
      </c>
      <c r="N305" s="83">
        <v>112</v>
      </c>
      <c r="O305" s="83">
        <v>132</v>
      </c>
      <c r="P305" s="83">
        <v>139</v>
      </c>
      <c r="Q305" s="83">
        <v>156</v>
      </c>
      <c r="R305" s="83">
        <v>157</v>
      </c>
      <c r="S305" s="83">
        <v>179</v>
      </c>
      <c r="T305" s="83">
        <v>186</v>
      </c>
      <c r="U305" s="83">
        <v>190</v>
      </c>
      <c r="V305" s="83">
        <v>183</v>
      </c>
      <c r="W305" s="83">
        <v>193</v>
      </c>
      <c r="X305" s="83">
        <v>193</v>
      </c>
      <c r="Y305" s="83">
        <v>200</v>
      </c>
      <c r="Z305" s="83">
        <v>186</v>
      </c>
      <c r="AA305" s="83">
        <v>196</v>
      </c>
      <c r="AB305" s="83">
        <v>199</v>
      </c>
      <c r="AC305" s="83">
        <v>200</v>
      </c>
      <c r="AD305" s="83">
        <v>185</v>
      </c>
      <c r="AE305" s="83">
        <v>200</v>
      </c>
      <c r="AF305" s="83">
        <v>196</v>
      </c>
      <c r="AG305" s="83">
        <v>197</v>
      </c>
      <c r="AH305" s="83">
        <v>185</v>
      </c>
      <c r="AI305" s="83">
        <v>185</v>
      </c>
      <c r="AJ305" s="83">
        <v>183</v>
      </c>
      <c r="AK305" s="83">
        <v>175</v>
      </c>
      <c r="AL305" s="83">
        <v>158</v>
      </c>
      <c r="AM305" s="83">
        <v>170</v>
      </c>
      <c r="AN305" s="83">
        <v>162</v>
      </c>
      <c r="AO305" s="83">
        <v>160</v>
      </c>
      <c r="AP305" s="83">
        <v>146</v>
      </c>
      <c r="AQ305" s="83">
        <v>152</v>
      </c>
      <c r="AR305" s="83">
        <v>148</v>
      </c>
      <c r="AS305" s="83">
        <v>143</v>
      </c>
      <c r="AT305" s="83">
        <v>138</v>
      </c>
      <c r="AU305" s="83">
        <v>134</v>
      </c>
      <c r="AV305" s="83">
        <v>127</v>
      </c>
      <c r="AW305" s="83">
        <v>129</v>
      </c>
    </row>
    <row r="306" spans="1:49" x14ac:dyDescent="0.15">
      <c r="A306" s="83">
        <v>20200812</v>
      </c>
      <c r="B306" s="83">
        <v>89</v>
      </c>
      <c r="C306" s="83">
        <v>76</v>
      </c>
      <c r="D306" s="83">
        <v>73</v>
      </c>
      <c r="E306" s="83">
        <v>72</v>
      </c>
      <c r="F306" s="83">
        <v>65</v>
      </c>
      <c r="G306" s="83">
        <v>75</v>
      </c>
      <c r="H306" s="83">
        <v>71</v>
      </c>
      <c r="I306" s="83">
        <v>70</v>
      </c>
      <c r="J306" s="83">
        <v>66</v>
      </c>
      <c r="K306" s="83">
        <v>65</v>
      </c>
      <c r="L306" s="83">
        <v>98</v>
      </c>
      <c r="M306" s="83">
        <v>91</v>
      </c>
      <c r="N306" s="83">
        <v>112</v>
      </c>
      <c r="O306" s="83">
        <v>124</v>
      </c>
      <c r="P306" s="83">
        <v>130</v>
      </c>
      <c r="Q306" s="83">
        <v>139</v>
      </c>
      <c r="R306" s="83">
        <v>137</v>
      </c>
      <c r="S306" s="83">
        <v>166</v>
      </c>
      <c r="T306" s="83">
        <v>176</v>
      </c>
      <c r="U306" s="83">
        <v>165</v>
      </c>
      <c r="V306" s="83">
        <v>167</v>
      </c>
      <c r="W306" s="83">
        <v>165</v>
      </c>
      <c r="X306" s="83">
        <v>178</v>
      </c>
      <c r="Y306" s="83">
        <v>184</v>
      </c>
      <c r="Z306" s="83">
        <v>170</v>
      </c>
      <c r="AA306" s="83">
        <v>186</v>
      </c>
      <c r="AB306" s="83">
        <v>184</v>
      </c>
      <c r="AC306" s="83">
        <v>181</v>
      </c>
      <c r="AD306" s="83">
        <v>172</v>
      </c>
      <c r="AE306" s="83">
        <v>185</v>
      </c>
      <c r="AF306" s="83">
        <v>188</v>
      </c>
      <c r="AG306" s="83">
        <v>180</v>
      </c>
      <c r="AH306" s="83">
        <v>176</v>
      </c>
      <c r="AI306" s="83">
        <v>176</v>
      </c>
      <c r="AJ306" s="83">
        <v>166</v>
      </c>
      <c r="AK306" s="83">
        <v>164</v>
      </c>
      <c r="AL306" s="83">
        <v>149</v>
      </c>
      <c r="AM306" s="83">
        <v>162</v>
      </c>
      <c r="AN306" s="83">
        <v>155</v>
      </c>
      <c r="AO306" s="83">
        <v>149</v>
      </c>
      <c r="AP306" s="83">
        <v>140</v>
      </c>
      <c r="AQ306" s="83">
        <v>149</v>
      </c>
      <c r="AR306" s="83">
        <v>146</v>
      </c>
      <c r="AS306" s="83">
        <v>139</v>
      </c>
      <c r="AT306" s="83">
        <v>132</v>
      </c>
      <c r="AU306" s="83">
        <v>131</v>
      </c>
      <c r="AV306" s="83">
        <v>127</v>
      </c>
      <c r="AW306" s="83">
        <v>124</v>
      </c>
    </row>
    <row r="307" spans="1:49" x14ac:dyDescent="0.15">
      <c r="A307" s="83">
        <v>20200813</v>
      </c>
      <c r="B307" s="83">
        <v>90</v>
      </c>
      <c r="C307" s="83">
        <v>68</v>
      </c>
      <c r="D307" s="83">
        <v>69</v>
      </c>
      <c r="E307" s="83">
        <v>66</v>
      </c>
      <c r="F307" s="83">
        <v>60</v>
      </c>
      <c r="G307" s="83">
        <v>69</v>
      </c>
      <c r="H307" s="83">
        <v>74</v>
      </c>
      <c r="I307" s="83">
        <v>92</v>
      </c>
      <c r="J307" s="83">
        <v>82</v>
      </c>
      <c r="K307" s="83">
        <v>96</v>
      </c>
      <c r="L307" s="83">
        <v>122</v>
      </c>
      <c r="M307" s="83">
        <v>130</v>
      </c>
      <c r="N307" s="83">
        <v>124</v>
      </c>
      <c r="O307" s="83">
        <v>140</v>
      </c>
      <c r="P307" s="83">
        <v>148</v>
      </c>
      <c r="Q307" s="83">
        <v>157</v>
      </c>
      <c r="R307" s="83">
        <v>166</v>
      </c>
      <c r="S307" s="83">
        <v>182</v>
      </c>
      <c r="T307" s="83">
        <v>186</v>
      </c>
      <c r="U307" s="83">
        <v>193</v>
      </c>
      <c r="V307" s="83">
        <v>200</v>
      </c>
      <c r="W307" s="83">
        <v>204</v>
      </c>
      <c r="X307" s="83">
        <v>204</v>
      </c>
      <c r="Y307" s="83">
        <v>199</v>
      </c>
      <c r="Z307" s="83">
        <v>184</v>
      </c>
      <c r="AA307" s="83">
        <v>187</v>
      </c>
      <c r="AB307" s="83">
        <v>192</v>
      </c>
      <c r="AC307" s="83">
        <v>189</v>
      </c>
      <c r="AD307" s="83">
        <v>177</v>
      </c>
      <c r="AE307" s="83">
        <v>194</v>
      </c>
      <c r="AF307" s="83">
        <v>195</v>
      </c>
      <c r="AG307" s="83">
        <v>190</v>
      </c>
      <c r="AH307" s="83">
        <v>188</v>
      </c>
      <c r="AI307" s="83">
        <v>179</v>
      </c>
      <c r="AJ307" s="83">
        <v>174</v>
      </c>
      <c r="AK307" s="83">
        <v>173</v>
      </c>
      <c r="AL307" s="83">
        <v>150</v>
      </c>
      <c r="AM307" s="83">
        <v>156</v>
      </c>
      <c r="AN307" s="83">
        <v>153</v>
      </c>
      <c r="AO307" s="83">
        <v>148</v>
      </c>
      <c r="AP307" s="83">
        <v>142</v>
      </c>
      <c r="AQ307" s="83">
        <v>152</v>
      </c>
      <c r="AR307" s="83">
        <v>147</v>
      </c>
      <c r="AS307" s="83">
        <v>138</v>
      </c>
      <c r="AT307" s="83">
        <v>131</v>
      </c>
      <c r="AU307" s="83">
        <v>128</v>
      </c>
      <c r="AV307" s="83">
        <v>124</v>
      </c>
      <c r="AW307" s="83">
        <v>120</v>
      </c>
    </row>
    <row r="308" spans="1:49" x14ac:dyDescent="0.15">
      <c r="A308" s="83">
        <v>20200814</v>
      </c>
      <c r="B308" s="83">
        <v>88</v>
      </c>
      <c r="C308" s="83">
        <v>68</v>
      </c>
      <c r="D308" s="83">
        <v>67</v>
      </c>
      <c r="E308" s="83">
        <v>63</v>
      </c>
      <c r="F308" s="83">
        <v>60</v>
      </c>
      <c r="G308" s="83">
        <v>67</v>
      </c>
      <c r="H308" s="83">
        <v>65</v>
      </c>
      <c r="I308" s="83">
        <v>65</v>
      </c>
      <c r="J308" s="83">
        <v>73</v>
      </c>
      <c r="K308" s="83">
        <v>79</v>
      </c>
      <c r="L308" s="83">
        <v>97</v>
      </c>
      <c r="M308" s="83">
        <v>104</v>
      </c>
      <c r="N308" s="83">
        <v>112</v>
      </c>
      <c r="O308" s="83">
        <v>130</v>
      </c>
      <c r="P308" s="83">
        <v>123</v>
      </c>
      <c r="Q308" s="83">
        <v>145</v>
      </c>
      <c r="R308" s="83">
        <v>139</v>
      </c>
      <c r="S308" s="83">
        <v>165</v>
      </c>
      <c r="T308" s="83">
        <v>167</v>
      </c>
      <c r="U308" s="83">
        <v>177</v>
      </c>
      <c r="V308" s="83">
        <v>191</v>
      </c>
      <c r="W308" s="83">
        <v>190</v>
      </c>
      <c r="X308" s="83">
        <v>187</v>
      </c>
      <c r="Y308" s="83">
        <v>189</v>
      </c>
      <c r="Z308" s="83">
        <v>168</v>
      </c>
      <c r="AA308" s="83">
        <v>181</v>
      </c>
      <c r="AB308" s="83">
        <v>179</v>
      </c>
      <c r="AC308" s="83">
        <v>183</v>
      </c>
      <c r="AD308" s="83">
        <v>166</v>
      </c>
      <c r="AE308" s="83">
        <v>184</v>
      </c>
      <c r="AF308" s="83">
        <v>179</v>
      </c>
      <c r="AG308" s="83">
        <v>174</v>
      </c>
      <c r="AH308" s="83">
        <v>164</v>
      </c>
      <c r="AI308" s="83">
        <v>166</v>
      </c>
      <c r="AJ308" s="83">
        <v>162</v>
      </c>
      <c r="AK308" s="83">
        <v>160</v>
      </c>
      <c r="AL308" s="83">
        <v>149</v>
      </c>
      <c r="AM308" s="83">
        <v>151</v>
      </c>
      <c r="AN308" s="83">
        <v>147</v>
      </c>
      <c r="AO308" s="83">
        <v>151</v>
      </c>
      <c r="AP308" s="83">
        <v>128</v>
      </c>
      <c r="AQ308" s="83">
        <v>140</v>
      </c>
      <c r="AR308" s="83">
        <v>137</v>
      </c>
      <c r="AS308" s="83">
        <v>132</v>
      </c>
      <c r="AT308" s="83">
        <v>126</v>
      </c>
      <c r="AU308" s="83">
        <v>122</v>
      </c>
      <c r="AV308" s="83">
        <v>120</v>
      </c>
      <c r="AW308" s="83">
        <v>119</v>
      </c>
    </row>
    <row r="309" spans="1:49" x14ac:dyDescent="0.15">
      <c r="A309" s="83">
        <v>20200815</v>
      </c>
      <c r="B309" s="83">
        <v>82</v>
      </c>
      <c r="C309" s="83">
        <v>67</v>
      </c>
      <c r="D309" s="83">
        <v>66</v>
      </c>
      <c r="E309" s="83">
        <v>65</v>
      </c>
      <c r="F309" s="83">
        <v>58</v>
      </c>
      <c r="G309" s="83">
        <v>68</v>
      </c>
      <c r="H309" s="83">
        <v>65</v>
      </c>
      <c r="I309" s="83">
        <v>65</v>
      </c>
      <c r="J309" s="83">
        <v>60</v>
      </c>
      <c r="K309" s="83">
        <v>60</v>
      </c>
      <c r="L309" s="83">
        <v>87</v>
      </c>
      <c r="M309" s="83">
        <v>103</v>
      </c>
      <c r="N309" s="83">
        <v>111</v>
      </c>
      <c r="O309" s="83">
        <v>126</v>
      </c>
      <c r="P309" s="83">
        <v>123</v>
      </c>
      <c r="Q309" s="83">
        <v>150</v>
      </c>
      <c r="R309" s="83">
        <v>143</v>
      </c>
      <c r="S309" s="83">
        <v>171</v>
      </c>
      <c r="T309" s="83">
        <v>171</v>
      </c>
      <c r="U309" s="83">
        <v>177</v>
      </c>
      <c r="V309" s="83">
        <v>183</v>
      </c>
      <c r="W309" s="83">
        <v>177</v>
      </c>
      <c r="X309" s="83">
        <v>186</v>
      </c>
      <c r="Y309" s="83">
        <v>188</v>
      </c>
      <c r="Z309" s="83">
        <v>174</v>
      </c>
      <c r="AA309" s="83">
        <v>187</v>
      </c>
      <c r="AB309" s="83">
        <v>177</v>
      </c>
      <c r="AC309" s="83">
        <v>179</v>
      </c>
      <c r="AD309" s="83">
        <v>167</v>
      </c>
      <c r="AE309" s="83">
        <v>185</v>
      </c>
      <c r="AF309" s="83">
        <v>177</v>
      </c>
      <c r="AG309" s="83">
        <v>171</v>
      </c>
      <c r="AH309" s="83">
        <v>166</v>
      </c>
      <c r="AI309" s="83">
        <v>161</v>
      </c>
      <c r="AJ309" s="83">
        <v>163</v>
      </c>
      <c r="AK309" s="83">
        <v>165</v>
      </c>
      <c r="AL309" s="83">
        <v>144</v>
      </c>
      <c r="AM309" s="83">
        <v>153</v>
      </c>
      <c r="AN309" s="83">
        <v>148</v>
      </c>
      <c r="AO309" s="83">
        <v>145</v>
      </c>
      <c r="AP309" s="83">
        <v>132</v>
      </c>
      <c r="AQ309" s="83">
        <v>140</v>
      </c>
      <c r="AR309" s="83">
        <v>140</v>
      </c>
      <c r="AS309" s="83">
        <v>134</v>
      </c>
      <c r="AT309" s="83">
        <v>128</v>
      </c>
      <c r="AU309" s="83">
        <v>123</v>
      </c>
      <c r="AV309" s="83">
        <v>124</v>
      </c>
      <c r="AW309" s="83">
        <v>122</v>
      </c>
    </row>
    <row r="310" spans="1:49" x14ac:dyDescent="0.15">
      <c r="A310" s="83">
        <v>20200816</v>
      </c>
      <c r="B310" s="83">
        <v>86</v>
      </c>
      <c r="C310" s="83">
        <v>67</v>
      </c>
      <c r="D310" s="83">
        <v>69</v>
      </c>
      <c r="E310" s="83">
        <v>64</v>
      </c>
      <c r="F310" s="83">
        <v>62</v>
      </c>
      <c r="G310" s="83">
        <v>71</v>
      </c>
      <c r="H310" s="83">
        <v>69</v>
      </c>
      <c r="I310" s="83">
        <v>67</v>
      </c>
      <c r="J310" s="83">
        <v>66</v>
      </c>
      <c r="K310" s="83">
        <v>69</v>
      </c>
      <c r="L310" s="83">
        <v>96</v>
      </c>
      <c r="M310" s="83">
        <v>92</v>
      </c>
      <c r="N310" s="83">
        <v>107</v>
      </c>
      <c r="O310" s="83">
        <v>110</v>
      </c>
      <c r="P310" s="83">
        <v>133</v>
      </c>
      <c r="Q310" s="83">
        <v>143</v>
      </c>
      <c r="R310" s="83">
        <v>142</v>
      </c>
      <c r="S310" s="83">
        <v>162</v>
      </c>
      <c r="T310" s="83">
        <v>167</v>
      </c>
      <c r="U310" s="83">
        <v>168</v>
      </c>
      <c r="V310" s="83">
        <v>170</v>
      </c>
      <c r="W310" s="83">
        <v>174</v>
      </c>
      <c r="X310" s="83">
        <v>185</v>
      </c>
      <c r="Y310" s="83">
        <v>186</v>
      </c>
      <c r="Z310" s="83">
        <v>175</v>
      </c>
      <c r="AA310" s="83">
        <v>182</v>
      </c>
      <c r="AB310" s="83">
        <v>184</v>
      </c>
      <c r="AC310" s="83">
        <v>187</v>
      </c>
      <c r="AD310" s="83">
        <v>181</v>
      </c>
      <c r="AE310" s="83">
        <v>191</v>
      </c>
      <c r="AF310" s="83">
        <v>186</v>
      </c>
      <c r="AG310" s="83">
        <v>183</v>
      </c>
      <c r="AH310" s="83">
        <v>177</v>
      </c>
      <c r="AI310" s="83">
        <v>172</v>
      </c>
      <c r="AJ310" s="83">
        <v>171</v>
      </c>
      <c r="AK310" s="83">
        <v>166</v>
      </c>
      <c r="AL310" s="83">
        <v>152</v>
      </c>
      <c r="AM310" s="83">
        <v>159</v>
      </c>
      <c r="AN310" s="83">
        <v>152</v>
      </c>
      <c r="AO310" s="83">
        <v>151</v>
      </c>
      <c r="AP310" s="83">
        <v>144</v>
      </c>
      <c r="AQ310" s="83">
        <v>151</v>
      </c>
      <c r="AR310" s="83">
        <v>142</v>
      </c>
      <c r="AS310" s="83">
        <v>136</v>
      </c>
      <c r="AT310" s="83">
        <v>128</v>
      </c>
      <c r="AU310" s="83">
        <v>126</v>
      </c>
      <c r="AV310" s="83">
        <v>122</v>
      </c>
      <c r="AW310" s="83">
        <v>121</v>
      </c>
    </row>
    <row r="311" spans="1:49" x14ac:dyDescent="0.15">
      <c r="A311" s="83">
        <v>20200817</v>
      </c>
      <c r="B311" s="83">
        <v>86</v>
      </c>
      <c r="C311" s="83">
        <v>66</v>
      </c>
      <c r="D311" s="83">
        <v>66</v>
      </c>
      <c r="E311" s="83">
        <v>64</v>
      </c>
      <c r="F311" s="83">
        <v>58</v>
      </c>
      <c r="G311" s="83">
        <v>68</v>
      </c>
      <c r="H311" s="83">
        <v>67</v>
      </c>
      <c r="I311" s="83">
        <v>64</v>
      </c>
      <c r="J311" s="83">
        <v>64</v>
      </c>
      <c r="K311" s="83">
        <v>61</v>
      </c>
      <c r="L311" s="83">
        <v>70</v>
      </c>
      <c r="M311" s="83">
        <v>74</v>
      </c>
      <c r="N311" s="83">
        <v>109</v>
      </c>
      <c r="O311" s="83">
        <v>110</v>
      </c>
      <c r="P311" s="83">
        <v>134</v>
      </c>
      <c r="Q311" s="83">
        <v>144</v>
      </c>
      <c r="R311" s="83">
        <v>142</v>
      </c>
      <c r="S311" s="83">
        <v>164</v>
      </c>
      <c r="T311" s="83">
        <v>172</v>
      </c>
      <c r="U311" s="83">
        <v>170</v>
      </c>
      <c r="V311" s="83">
        <v>174</v>
      </c>
      <c r="W311" s="83">
        <v>171</v>
      </c>
      <c r="X311" s="83">
        <v>169</v>
      </c>
      <c r="Y311" s="83">
        <v>175</v>
      </c>
      <c r="Z311" s="83">
        <v>168</v>
      </c>
      <c r="AA311" s="83">
        <v>180</v>
      </c>
      <c r="AB311" s="83">
        <v>173</v>
      </c>
      <c r="AC311" s="83">
        <v>171</v>
      </c>
      <c r="AD311" s="83">
        <v>161</v>
      </c>
      <c r="AE311" s="83">
        <v>176</v>
      </c>
      <c r="AF311" s="83">
        <v>174</v>
      </c>
      <c r="AG311" s="83">
        <v>166</v>
      </c>
      <c r="AH311" s="83">
        <v>163</v>
      </c>
      <c r="AI311" s="83">
        <v>160</v>
      </c>
      <c r="AJ311" s="83">
        <v>153</v>
      </c>
      <c r="AK311" s="83">
        <v>157</v>
      </c>
      <c r="AL311" s="83">
        <v>137</v>
      </c>
      <c r="AM311" s="83">
        <v>149</v>
      </c>
      <c r="AN311" s="83">
        <v>147</v>
      </c>
      <c r="AO311" s="83">
        <v>139</v>
      </c>
      <c r="AP311" s="83">
        <v>135</v>
      </c>
      <c r="AQ311" s="83">
        <v>138</v>
      </c>
      <c r="AR311" s="83">
        <v>136</v>
      </c>
      <c r="AS311" s="83">
        <v>127</v>
      </c>
      <c r="AT311" s="83">
        <v>124</v>
      </c>
      <c r="AU311" s="83">
        <v>120</v>
      </c>
      <c r="AV311" s="83">
        <v>119</v>
      </c>
      <c r="AW311" s="83">
        <v>118</v>
      </c>
    </row>
    <row r="312" spans="1:49" x14ac:dyDescent="0.15">
      <c r="A312" s="83">
        <v>20200818</v>
      </c>
      <c r="B312" s="83">
        <v>81</v>
      </c>
      <c r="C312" s="83">
        <v>63</v>
      </c>
      <c r="D312" s="83">
        <v>65</v>
      </c>
      <c r="E312" s="83">
        <v>63</v>
      </c>
      <c r="F312" s="83">
        <v>55</v>
      </c>
      <c r="G312" s="83">
        <v>67</v>
      </c>
      <c r="H312" s="83">
        <v>64</v>
      </c>
      <c r="I312" s="83">
        <v>63</v>
      </c>
      <c r="J312" s="83">
        <v>59</v>
      </c>
      <c r="K312" s="83">
        <v>59</v>
      </c>
      <c r="L312" s="83">
        <v>67</v>
      </c>
      <c r="M312" s="83">
        <v>75</v>
      </c>
      <c r="N312" s="83">
        <v>112</v>
      </c>
      <c r="O312" s="83">
        <v>107</v>
      </c>
      <c r="P312" s="83">
        <v>127</v>
      </c>
      <c r="Q312" s="83">
        <v>136</v>
      </c>
      <c r="R312" s="83">
        <v>140</v>
      </c>
      <c r="S312" s="83">
        <v>165</v>
      </c>
      <c r="T312" s="83">
        <v>169</v>
      </c>
      <c r="U312" s="83">
        <v>167</v>
      </c>
      <c r="V312" s="83">
        <v>163</v>
      </c>
      <c r="W312" s="83">
        <v>173</v>
      </c>
      <c r="X312" s="83">
        <v>171</v>
      </c>
      <c r="Y312" s="83">
        <v>169</v>
      </c>
      <c r="Z312" s="83">
        <v>165</v>
      </c>
      <c r="AA312" s="83">
        <v>170</v>
      </c>
      <c r="AB312" s="83">
        <v>168</v>
      </c>
      <c r="AC312" s="83">
        <v>168</v>
      </c>
      <c r="AD312" s="83">
        <v>166</v>
      </c>
      <c r="AE312" s="83">
        <v>175</v>
      </c>
      <c r="AF312" s="83">
        <v>173</v>
      </c>
      <c r="AG312" s="83">
        <v>173</v>
      </c>
      <c r="AH312" s="83">
        <v>165</v>
      </c>
      <c r="AI312" s="83">
        <v>165</v>
      </c>
      <c r="AJ312" s="83">
        <v>152</v>
      </c>
      <c r="AK312" s="83">
        <v>147</v>
      </c>
      <c r="AL312" s="83">
        <v>137</v>
      </c>
      <c r="AM312" s="83">
        <v>144</v>
      </c>
      <c r="AN312" s="83">
        <v>137</v>
      </c>
      <c r="AO312" s="83">
        <v>130</v>
      </c>
      <c r="AP312" s="83">
        <v>123</v>
      </c>
      <c r="AQ312" s="83">
        <v>132</v>
      </c>
      <c r="AR312" s="83">
        <v>128</v>
      </c>
      <c r="AS312" s="83">
        <v>122</v>
      </c>
      <c r="AT312" s="83">
        <v>118</v>
      </c>
      <c r="AU312" s="83">
        <v>114</v>
      </c>
      <c r="AV312" s="83">
        <v>113</v>
      </c>
      <c r="AW312" s="83">
        <v>108</v>
      </c>
    </row>
    <row r="313" spans="1:49" x14ac:dyDescent="0.15">
      <c r="A313" s="83">
        <v>20200819</v>
      </c>
      <c r="B313" s="83">
        <v>79</v>
      </c>
      <c r="C313" s="83">
        <v>61</v>
      </c>
      <c r="D313" s="83">
        <v>61</v>
      </c>
      <c r="E313" s="83">
        <v>59</v>
      </c>
      <c r="F313" s="83">
        <v>54</v>
      </c>
      <c r="G313" s="83">
        <v>63</v>
      </c>
      <c r="H313" s="83">
        <v>60</v>
      </c>
      <c r="I313" s="83">
        <v>58</v>
      </c>
      <c r="J313" s="83">
        <v>55</v>
      </c>
      <c r="K313" s="83">
        <v>55</v>
      </c>
      <c r="L313" s="83">
        <v>54</v>
      </c>
      <c r="M313" s="83">
        <v>71</v>
      </c>
      <c r="N313" s="83">
        <v>100</v>
      </c>
      <c r="O313" s="83">
        <v>102</v>
      </c>
      <c r="P313" s="83">
        <v>116</v>
      </c>
      <c r="Q313" s="83">
        <v>132</v>
      </c>
      <c r="R313" s="83">
        <v>132</v>
      </c>
      <c r="S313" s="83">
        <v>160</v>
      </c>
      <c r="T313" s="83">
        <v>165</v>
      </c>
      <c r="U313" s="83">
        <v>167</v>
      </c>
      <c r="V313" s="83">
        <v>168</v>
      </c>
      <c r="W313" s="83">
        <v>168</v>
      </c>
      <c r="X313" s="83">
        <v>165</v>
      </c>
      <c r="Y313" s="83">
        <v>171</v>
      </c>
      <c r="Z313" s="83">
        <v>163</v>
      </c>
      <c r="AA313" s="83">
        <v>175</v>
      </c>
      <c r="AB313" s="83">
        <v>174</v>
      </c>
      <c r="AC313" s="83">
        <v>175</v>
      </c>
      <c r="AD313" s="83">
        <v>159</v>
      </c>
      <c r="AE313" s="83">
        <v>179</v>
      </c>
      <c r="AF313" s="83">
        <v>178</v>
      </c>
      <c r="AG313" s="83">
        <v>174</v>
      </c>
      <c r="AH313" s="83">
        <v>169</v>
      </c>
      <c r="AI313" s="83">
        <v>167</v>
      </c>
      <c r="AJ313" s="83">
        <v>164</v>
      </c>
      <c r="AK313" s="83">
        <v>161</v>
      </c>
      <c r="AL313" s="83">
        <v>150</v>
      </c>
      <c r="AM313" s="83">
        <v>156</v>
      </c>
      <c r="AN313" s="83">
        <v>142</v>
      </c>
      <c r="AO313" s="83">
        <v>143</v>
      </c>
      <c r="AP313" s="83">
        <v>127</v>
      </c>
      <c r="AQ313" s="83">
        <v>135</v>
      </c>
      <c r="AR313" s="83">
        <v>129</v>
      </c>
      <c r="AS313" s="83">
        <v>124</v>
      </c>
      <c r="AT313" s="83">
        <v>121</v>
      </c>
      <c r="AU313" s="83">
        <v>116</v>
      </c>
      <c r="AV313" s="83">
        <v>112</v>
      </c>
      <c r="AW313" s="83">
        <v>110</v>
      </c>
    </row>
    <row r="314" spans="1:49" x14ac:dyDescent="0.15">
      <c r="A314" s="83">
        <v>20200820</v>
      </c>
      <c r="B314" s="83">
        <v>80</v>
      </c>
      <c r="C314" s="83">
        <v>60</v>
      </c>
      <c r="D314" s="83">
        <v>62</v>
      </c>
      <c r="E314" s="83">
        <v>58</v>
      </c>
      <c r="F314" s="83">
        <v>53</v>
      </c>
      <c r="G314" s="83">
        <v>62</v>
      </c>
      <c r="H314" s="83">
        <v>60</v>
      </c>
      <c r="I314" s="83">
        <v>58</v>
      </c>
      <c r="J314" s="83">
        <v>56</v>
      </c>
      <c r="K314" s="83">
        <v>56</v>
      </c>
      <c r="L314" s="83">
        <v>54</v>
      </c>
      <c r="M314" s="83">
        <v>86</v>
      </c>
      <c r="N314" s="83">
        <v>97</v>
      </c>
      <c r="O314" s="83">
        <v>106</v>
      </c>
      <c r="P314" s="83">
        <v>123</v>
      </c>
      <c r="Q314" s="83">
        <v>133</v>
      </c>
      <c r="R314" s="83">
        <v>144</v>
      </c>
      <c r="S314" s="83">
        <v>164</v>
      </c>
      <c r="T314" s="83">
        <v>176</v>
      </c>
      <c r="U314" s="83">
        <v>174</v>
      </c>
      <c r="V314" s="83">
        <v>180</v>
      </c>
      <c r="W314" s="83">
        <v>183</v>
      </c>
      <c r="X314" s="83">
        <v>192</v>
      </c>
      <c r="Y314" s="83">
        <v>195</v>
      </c>
      <c r="Z314" s="83">
        <v>189</v>
      </c>
      <c r="AA314" s="83">
        <v>197</v>
      </c>
      <c r="AB314" s="83">
        <v>197</v>
      </c>
      <c r="AC314" s="83">
        <v>197</v>
      </c>
      <c r="AD314" s="83">
        <v>182</v>
      </c>
      <c r="AE314" s="83">
        <v>196</v>
      </c>
      <c r="AF314" s="83">
        <v>194</v>
      </c>
      <c r="AG314" s="83">
        <v>193</v>
      </c>
      <c r="AH314" s="83">
        <v>184</v>
      </c>
      <c r="AI314" s="83">
        <v>174</v>
      </c>
      <c r="AJ314" s="83">
        <v>178</v>
      </c>
      <c r="AK314" s="83">
        <v>168</v>
      </c>
      <c r="AL314" s="83">
        <v>157</v>
      </c>
      <c r="AM314" s="83">
        <v>165</v>
      </c>
      <c r="AN314" s="83">
        <v>156</v>
      </c>
      <c r="AO314" s="83">
        <v>150</v>
      </c>
      <c r="AP314" s="83">
        <v>141</v>
      </c>
      <c r="AQ314" s="83">
        <v>148</v>
      </c>
      <c r="AR314" s="83">
        <v>146</v>
      </c>
      <c r="AS314" s="83">
        <v>133</v>
      </c>
      <c r="AT314" s="83">
        <v>126</v>
      </c>
      <c r="AU314" s="83">
        <v>122</v>
      </c>
      <c r="AV314" s="83">
        <v>117</v>
      </c>
      <c r="AW314" s="83">
        <v>115</v>
      </c>
    </row>
    <row r="315" spans="1:49" x14ac:dyDescent="0.15">
      <c r="A315" s="83">
        <v>20200821</v>
      </c>
      <c r="B315" s="83">
        <v>77</v>
      </c>
      <c r="C315" s="83">
        <v>64</v>
      </c>
      <c r="D315" s="83">
        <v>65</v>
      </c>
      <c r="E315" s="83">
        <v>61</v>
      </c>
      <c r="F315" s="83">
        <v>57</v>
      </c>
      <c r="G315" s="83">
        <v>65</v>
      </c>
      <c r="H315" s="83">
        <v>63</v>
      </c>
      <c r="I315" s="83">
        <v>62</v>
      </c>
      <c r="J315" s="83">
        <v>58</v>
      </c>
      <c r="K315" s="83">
        <v>58</v>
      </c>
      <c r="L315" s="83">
        <v>58</v>
      </c>
      <c r="M315" s="83">
        <v>74</v>
      </c>
      <c r="N315" s="83">
        <v>106</v>
      </c>
      <c r="O315" s="83">
        <v>108</v>
      </c>
      <c r="P315" s="83">
        <v>128</v>
      </c>
      <c r="Q315" s="83">
        <v>137</v>
      </c>
      <c r="R315" s="83">
        <v>139</v>
      </c>
      <c r="S315" s="83">
        <v>168</v>
      </c>
      <c r="T315" s="83">
        <v>176</v>
      </c>
      <c r="U315" s="83">
        <v>179</v>
      </c>
      <c r="V315" s="83">
        <v>181</v>
      </c>
      <c r="W315" s="83">
        <v>185</v>
      </c>
      <c r="X315" s="83">
        <v>184</v>
      </c>
      <c r="Y315" s="83">
        <v>193</v>
      </c>
      <c r="Z315" s="83">
        <v>180</v>
      </c>
      <c r="AA315" s="83">
        <v>190</v>
      </c>
      <c r="AB315" s="83">
        <v>185</v>
      </c>
      <c r="AC315" s="83">
        <v>188</v>
      </c>
      <c r="AD315" s="83">
        <v>176</v>
      </c>
      <c r="AE315" s="83">
        <v>189</v>
      </c>
      <c r="AF315" s="83">
        <v>179</v>
      </c>
      <c r="AG315" s="83">
        <v>175</v>
      </c>
      <c r="AH315" s="83">
        <v>169</v>
      </c>
      <c r="AI315" s="83">
        <v>170</v>
      </c>
      <c r="AJ315" s="83">
        <v>162</v>
      </c>
      <c r="AK315" s="83">
        <v>161</v>
      </c>
      <c r="AL315" s="83">
        <v>148</v>
      </c>
      <c r="AM315" s="83">
        <v>157</v>
      </c>
      <c r="AN315" s="83">
        <v>148</v>
      </c>
      <c r="AO315" s="83">
        <v>140</v>
      </c>
      <c r="AP315" s="83">
        <v>125</v>
      </c>
      <c r="AQ315" s="83">
        <v>137</v>
      </c>
      <c r="AR315" s="83">
        <v>137</v>
      </c>
      <c r="AS315" s="83">
        <v>128</v>
      </c>
      <c r="AT315" s="83">
        <v>124</v>
      </c>
      <c r="AU315" s="83">
        <v>124</v>
      </c>
      <c r="AV315" s="83">
        <v>120</v>
      </c>
      <c r="AW315" s="83">
        <v>115</v>
      </c>
    </row>
    <row r="316" spans="1:49" x14ac:dyDescent="0.15">
      <c r="A316" s="83">
        <v>20200822</v>
      </c>
      <c r="B316" s="83">
        <v>89</v>
      </c>
      <c r="C316" s="83">
        <v>66</v>
      </c>
      <c r="D316" s="83">
        <v>63</v>
      </c>
      <c r="E316" s="83">
        <v>64</v>
      </c>
      <c r="F316" s="83">
        <v>56</v>
      </c>
      <c r="G316" s="83">
        <v>66</v>
      </c>
      <c r="H316" s="83">
        <v>63</v>
      </c>
      <c r="I316" s="83">
        <v>63</v>
      </c>
      <c r="J316" s="83">
        <v>57</v>
      </c>
      <c r="K316" s="83">
        <v>59</v>
      </c>
      <c r="L316" s="83">
        <v>59</v>
      </c>
      <c r="M316" s="83">
        <v>80</v>
      </c>
      <c r="N316" s="83">
        <v>104</v>
      </c>
      <c r="O316" s="83">
        <v>115</v>
      </c>
      <c r="P316" s="83">
        <v>133</v>
      </c>
      <c r="Q316" s="83">
        <v>144</v>
      </c>
      <c r="R316" s="83">
        <v>144</v>
      </c>
      <c r="S316" s="83">
        <v>171</v>
      </c>
      <c r="T316" s="83">
        <v>178</v>
      </c>
      <c r="U316" s="83">
        <v>177</v>
      </c>
      <c r="V316" s="83">
        <v>173</v>
      </c>
      <c r="W316" s="83">
        <v>168</v>
      </c>
      <c r="X316" s="83">
        <v>173</v>
      </c>
      <c r="Y316" s="83">
        <v>180</v>
      </c>
      <c r="Z316" s="83">
        <v>175</v>
      </c>
      <c r="AA316" s="83">
        <v>184</v>
      </c>
      <c r="AB316" s="83">
        <v>183</v>
      </c>
      <c r="AC316" s="83">
        <v>184</v>
      </c>
      <c r="AD316" s="83">
        <v>173</v>
      </c>
      <c r="AE316" s="83">
        <v>182</v>
      </c>
      <c r="AF316" s="83">
        <v>177</v>
      </c>
      <c r="AG316" s="83">
        <v>174</v>
      </c>
      <c r="AH316" s="83">
        <v>169</v>
      </c>
      <c r="AI316" s="83">
        <v>164</v>
      </c>
      <c r="AJ316" s="83">
        <v>165</v>
      </c>
      <c r="AK316" s="83">
        <v>160</v>
      </c>
      <c r="AL316" s="83">
        <v>143</v>
      </c>
      <c r="AM316" s="83">
        <v>150</v>
      </c>
      <c r="AN316" s="83">
        <v>145</v>
      </c>
      <c r="AO316" s="83">
        <v>147</v>
      </c>
      <c r="AP316" s="83">
        <v>135</v>
      </c>
      <c r="AQ316" s="83">
        <v>149</v>
      </c>
      <c r="AR316" s="83">
        <v>144</v>
      </c>
      <c r="AS316" s="83">
        <v>128</v>
      </c>
      <c r="AT316" s="83">
        <v>120</v>
      </c>
      <c r="AU316" s="83">
        <v>116</v>
      </c>
      <c r="AV316" s="83">
        <v>114</v>
      </c>
      <c r="AW316" s="83">
        <v>112</v>
      </c>
    </row>
    <row r="317" spans="1:49" x14ac:dyDescent="0.15">
      <c r="A317" s="83">
        <v>20200823</v>
      </c>
      <c r="B317" s="83">
        <v>76</v>
      </c>
      <c r="C317" s="83">
        <v>61</v>
      </c>
      <c r="D317" s="83">
        <v>63</v>
      </c>
      <c r="E317" s="83">
        <v>62</v>
      </c>
      <c r="F317" s="83">
        <v>54</v>
      </c>
      <c r="G317" s="83">
        <v>64</v>
      </c>
      <c r="H317" s="83">
        <v>61</v>
      </c>
      <c r="I317" s="83">
        <v>62</v>
      </c>
      <c r="J317" s="83">
        <v>60</v>
      </c>
      <c r="K317" s="83">
        <v>58</v>
      </c>
      <c r="L317" s="83">
        <v>74</v>
      </c>
      <c r="M317" s="83">
        <v>87</v>
      </c>
      <c r="N317" s="83">
        <v>94</v>
      </c>
      <c r="O317" s="83">
        <v>102</v>
      </c>
      <c r="P317" s="83">
        <v>128</v>
      </c>
      <c r="Q317" s="83">
        <v>136</v>
      </c>
      <c r="R317" s="83">
        <v>135</v>
      </c>
      <c r="S317" s="83">
        <v>162</v>
      </c>
      <c r="T317" s="83">
        <v>171</v>
      </c>
      <c r="U317" s="83">
        <v>173</v>
      </c>
      <c r="V317" s="83">
        <v>167</v>
      </c>
      <c r="W317" s="83">
        <v>180</v>
      </c>
      <c r="X317" s="83">
        <v>179</v>
      </c>
      <c r="Y317" s="83">
        <v>188</v>
      </c>
      <c r="Z317" s="83">
        <v>178</v>
      </c>
      <c r="AA317" s="83">
        <v>190</v>
      </c>
      <c r="AB317" s="83">
        <v>191</v>
      </c>
      <c r="AC317" s="83">
        <v>187</v>
      </c>
      <c r="AD317" s="83">
        <v>174</v>
      </c>
      <c r="AE317" s="83">
        <v>189</v>
      </c>
      <c r="AF317" s="83">
        <v>191</v>
      </c>
      <c r="AG317" s="83">
        <v>192</v>
      </c>
      <c r="AH317" s="83">
        <v>174</v>
      </c>
      <c r="AI317" s="83">
        <v>169</v>
      </c>
      <c r="AJ317" s="83">
        <v>166</v>
      </c>
      <c r="AK317" s="83">
        <v>163</v>
      </c>
      <c r="AL317" s="83">
        <v>148</v>
      </c>
      <c r="AM317" s="83">
        <v>160</v>
      </c>
      <c r="AN317" s="83">
        <v>153</v>
      </c>
      <c r="AO317" s="83">
        <v>149</v>
      </c>
      <c r="AP317" s="83">
        <v>142</v>
      </c>
      <c r="AQ317" s="83">
        <v>150</v>
      </c>
      <c r="AR317" s="83">
        <v>140</v>
      </c>
      <c r="AS317" s="83">
        <v>130</v>
      </c>
      <c r="AT317" s="83">
        <v>126</v>
      </c>
      <c r="AU317" s="83">
        <v>121</v>
      </c>
      <c r="AV317" s="83">
        <v>116</v>
      </c>
      <c r="AW317" s="83">
        <v>115</v>
      </c>
    </row>
    <row r="318" spans="1:49" x14ac:dyDescent="0.15">
      <c r="A318" s="83">
        <v>20200824</v>
      </c>
      <c r="B318" s="83">
        <v>82</v>
      </c>
      <c r="C318" s="83">
        <v>64</v>
      </c>
      <c r="D318" s="83">
        <v>64</v>
      </c>
      <c r="E318" s="83">
        <v>62</v>
      </c>
      <c r="F318" s="83">
        <v>55</v>
      </c>
      <c r="G318" s="83">
        <v>64</v>
      </c>
      <c r="H318" s="83">
        <v>64</v>
      </c>
      <c r="I318" s="83">
        <v>61</v>
      </c>
      <c r="J318" s="83">
        <v>59</v>
      </c>
      <c r="K318" s="83">
        <v>58</v>
      </c>
      <c r="L318" s="83">
        <v>67</v>
      </c>
      <c r="M318" s="83">
        <v>70</v>
      </c>
      <c r="N318" s="83">
        <v>111</v>
      </c>
      <c r="O318" s="83">
        <v>107</v>
      </c>
      <c r="P318" s="83">
        <v>125</v>
      </c>
      <c r="Q318" s="83">
        <v>136</v>
      </c>
      <c r="R318" s="83">
        <v>143</v>
      </c>
      <c r="S318" s="83">
        <v>170</v>
      </c>
      <c r="T318" s="83">
        <v>173</v>
      </c>
      <c r="U318" s="83">
        <v>165</v>
      </c>
      <c r="V318" s="83">
        <v>173</v>
      </c>
      <c r="W318" s="83">
        <v>174</v>
      </c>
      <c r="X318" s="83">
        <v>180</v>
      </c>
      <c r="Y318" s="83">
        <v>180</v>
      </c>
      <c r="Z318" s="83">
        <v>179</v>
      </c>
      <c r="AA318" s="83">
        <v>182</v>
      </c>
      <c r="AB318" s="83">
        <v>179</v>
      </c>
      <c r="AC318" s="83">
        <v>176</v>
      </c>
      <c r="AD318" s="83">
        <v>170</v>
      </c>
      <c r="AE318" s="83">
        <v>188</v>
      </c>
      <c r="AF318" s="83">
        <v>183</v>
      </c>
      <c r="AG318" s="83">
        <v>183</v>
      </c>
      <c r="AH318" s="83">
        <v>171</v>
      </c>
      <c r="AI318" s="83">
        <v>170</v>
      </c>
      <c r="AJ318" s="83">
        <v>169</v>
      </c>
      <c r="AK318" s="83">
        <v>164</v>
      </c>
      <c r="AL318" s="83">
        <v>145</v>
      </c>
      <c r="AM318" s="83">
        <v>152</v>
      </c>
      <c r="AN318" s="83">
        <v>143</v>
      </c>
      <c r="AO318" s="83">
        <v>139</v>
      </c>
      <c r="AP318" s="83">
        <v>131</v>
      </c>
      <c r="AQ318" s="83">
        <v>137</v>
      </c>
      <c r="AR318" s="83">
        <v>130</v>
      </c>
      <c r="AS318" s="83">
        <v>125</v>
      </c>
      <c r="AT318" s="83">
        <v>115</v>
      </c>
      <c r="AU318" s="83">
        <v>114</v>
      </c>
      <c r="AV318" s="83">
        <v>112</v>
      </c>
      <c r="AW318" s="83">
        <v>109</v>
      </c>
    </row>
    <row r="319" spans="1:49" x14ac:dyDescent="0.15">
      <c r="A319" s="83">
        <v>20200825</v>
      </c>
      <c r="B319" s="83">
        <v>77</v>
      </c>
      <c r="C319" s="83">
        <v>64</v>
      </c>
      <c r="D319" s="83">
        <v>63</v>
      </c>
      <c r="E319" s="83">
        <v>60</v>
      </c>
      <c r="F319" s="83">
        <v>55</v>
      </c>
      <c r="G319" s="83">
        <v>63</v>
      </c>
      <c r="H319" s="83">
        <v>62</v>
      </c>
      <c r="I319" s="83">
        <v>62</v>
      </c>
      <c r="J319" s="83">
        <v>61</v>
      </c>
      <c r="K319" s="83">
        <v>58</v>
      </c>
      <c r="L319" s="83">
        <v>57</v>
      </c>
      <c r="M319" s="83">
        <v>69</v>
      </c>
      <c r="N319" s="83">
        <v>110</v>
      </c>
      <c r="O319" s="83">
        <v>109</v>
      </c>
      <c r="P319" s="83">
        <v>126</v>
      </c>
      <c r="Q319" s="83">
        <v>132</v>
      </c>
      <c r="R319" s="83">
        <v>133</v>
      </c>
      <c r="S319" s="83">
        <v>158</v>
      </c>
      <c r="T319" s="83">
        <v>163</v>
      </c>
      <c r="U319" s="83">
        <v>169</v>
      </c>
      <c r="V319" s="83">
        <v>171</v>
      </c>
      <c r="W319" s="83">
        <v>171</v>
      </c>
      <c r="X319" s="83">
        <v>175</v>
      </c>
      <c r="Y319" s="83">
        <v>176</v>
      </c>
      <c r="Z319" s="83">
        <v>175</v>
      </c>
      <c r="AA319" s="83">
        <v>183</v>
      </c>
      <c r="AB319" s="83">
        <v>180</v>
      </c>
      <c r="AC319" s="83">
        <v>174</v>
      </c>
      <c r="AD319" s="83">
        <v>165</v>
      </c>
      <c r="AE319" s="83">
        <v>184</v>
      </c>
      <c r="AF319" s="83">
        <v>177</v>
      </c>
      <c r="AG319" s="83">
        <v>172</v>
      </c>
      <c r="AH319" s="83">
        <v>165</v>
      </c>
      <c r="AI319" s="83">
        <v>170</v>
      </c>
      <c r="AJ319" s="83">
        <v>160</v>
      </c>
      <c r="AK319" s="83">
        <v>155</v>
      </c>
      <c r="AL319" s="83">
        <v>139</v>
      </c>
      <c r="AM319" s="83">
        <v>155</v>
      </c>
      <c r="AN319" s="83">
        <v>148</v>
      </c>
      <c r="AO319" s="83">
        <v>142</v>
      </c>
      <c r="AP319" s="83">
        <v>131</v>
      </c>
      <c r="AQ319" s="83">
        <v>140</v>
      </c>
      <c r="AR319" s="83">
        <v>133</v>
      </c>
      <c r="AS319" s="83">
        <v>125</v>
      </c>
      <c r="AT319" s="83">
        <v>123</v>
      </c>
      <c r="AU319" s="83">
        <v>120</v>
      </c>
      <c r="AV319" s="83">
        <v>115</v>
      </c>
      <c r="AW319" s="83">
        <v>113</v>
      </c>
    </row>
    <row r="320" spans="1:49" x14ac:dyDescent="0.15">
      <c r="A320" s="83">
        <v>20200826</v>
      </c>
      <c r="B320" s="83">
        <v>81</v>
      </c>
      <c r="C320" s="83">
        <v>63</v>
      </c>
      <c r="D320" s="83">
        <v>63</v>
      </c>
      <c r="E320" s="83">
        <v>60</v>
      </c>
      <c r="F320" s="83">
        <v>57</v>
      </c>
      <c r="G320" s="83">
        <v>64</v>
      </c>
      <c r="H320" s="83">
        <v>63</v>
      </c>
      <c r="I320" s="83">
        <v>60</v>
      </c>
      <c r="J320" s="83">
        <v>57</v>
      </c>
      <c r="K320" s="83">
        <v>56</v>
      </c>
      <c r="L320" s="83">
        <v>55</v>
      </c>
      <c r="M320" s="83">
        <v>68</v>
      </c>
      <c r="N320" s="83">
        <v>106</v>
      </c>
      <c r="O320" s="83">
        <v>112</v>
      </c>
      <c r="P320" s="83">
        <v>131</v>
      </c>
      <c r="Q320" s="83">
        <v>141</v>
      </c>
      <c r="R320" s="83">
        <v>138</v>
      </c>
      <c r="S320" s="83">
        <v>164</v>
      </c>
      <c r="T320" s="83">
        <v>174</v>
      </c>
      <c r="U320" s="83">
        <v>170</v>
      </c>
      <c r="V320" s="83">
        <v>167</v>
      </c>
      <c r="W320" s="83">
        <v>171</v>
      </c>
      <c r="X320" s="83">
        <v>177</v>
      </c>
      <c r="Y320" s="83">
        <v>179</v>
      </c>
      <c r="Z320" s="83">
        <v>176</v>
      </c>
      <c r="AA320" s="83">
        <v>184</v>
      </c>
      <c r="AB320" s="83">
        <v>183</v>
      </c>
      <c r="AC320" s="83">
        <v>183</v>
      </c>
      <c r="AD320" s="83">
        <v>167</v>
      </c>
      <c r="AE320" s="83">
        <v>178</v>
      </c>
      <c r="AF320" s="83">
        <v>181</v>
      </c>
      <c r="AG320" s="83">
        <v>174</v>
      </c>
      <c r="AH320" s="83">
        <v>165</v>
      </c>
      <c r="AI320" s="83">
        <v>164</v>
      </c>
      <c r="AJ320" s="83">
        <v>158</v>
      </c>
      <c r="AK320" s="83">
        <v>157</v>
      </c>
      <c r="AL320" s="83">
        <v>143</v>
      </c>
      <c r="AM320" s="83">
        <v>161</v>
      </c>
      <c r="AN320" s="83">
        <v>150</v>
      </c>
      <c r="AO320" s="83">
        <v>145</v>
      </c>
      <c r="AP320" s="83">
        <v>136</v>
      </c>
      <c r="AQ320" s="83">
        <v>144</v>
      </c>
      <c r="AR320" s="83">
        <v>139</v>
      </c>
      <c r="AS320" s="83">
        <v>131</v>
      </c>
      <c r="AT320" s="83">
        <v>128</v>
      </c>
      <c r="AU320" s="83">
        <v>123</v>
      </c>
      <c r="AV320" s="83">
        <v>121</v>
      </c>
      <c r="AW320" s="83">
        <v>120</v>
      </c>
    </row>
    <row r="321" spans="1:49" x14ac:dyDescent="0.15">
      <c r="A321" s="83">
        <v>20200827</v>
      </c>
      <c r="B321" s="83">
        <v>88</v>
      </c>
      <c r="C321" s="83">
        <v>71</v>
      </c>
      <c r="D321" s="83">
        <v>69</v>
      </c>
      <c r="E321" s="83">
        <v>66</v>
      </c>
      <c r="F321" s="83">
        <v>60</v>
      </c>
      <c r="G321" s="83">
        <v>71</v>
      </c>
      <c r="H321" s="83">
        <v>68</v>
      </c>
      <c r="I321" s="83">
        <v>66</v>
      </c>
      <c r="J321" s="83">
        <v>65</v>
      </c>
      <c r="K321" s="83">
        <v>61</v>
      </c>
      <c r="L321" s="83">
        <v>61</v>
      </c>
      <c r="M321" s="83">
        <v>78</v>
      </c>
      <c r="N321" s="83">
        <v>119</v>
      </c>
      <c r="O321" s="83">
        <v>118</v>
      </c>
      <c r="P321" s="83">
        <v>138</v>
      </c>
      <c r="Q321" s="83">
        <v>143</v>
      </c>
      <c r="R321" s="83">
        <v>144</v>
      </c>
      <c r="S321" s="83">
        <v>174</v>
      </c>
      <c r="T321" s="83">
        <v>186</v>
      </c>
      <c r="U321" s="83">
        <v>185</v>
      </c>
      <c r="V321" s="83">
        <v>189</v>
      </c>
      <c r="W321" s="83">
        <v>192</v>
      </c>
      <c r="X321" s="83">
        <v>193</v>
      </c>
      <c r="Y321" s="83">
        <v>195</v>
      </c>
      <c r="Z321" s="83">
        <v>185</v>
      </c>
      <c r="AA321" s="83">
        <v>197</v>
      </c>
      <c r="AB321" s="83">
        <v>203</v>
      </c>
      <c r="AC321" s="83">
        <v>196</v>
      </c>
      <c r="AD321" s="83">
        <v>189</v>
      </c>
      <c r="AE321" s="83">
        <v>208</v>
      </c>
      <c r="AF321" s="83">
        <v>212</v>
      </c>
      <c r="AG321" s="83">
        <v>199</v>
      </c>
      <c r="AH321" s="83">
        <v>192</v>
      </c>
      <c r="AI321" s="83">
        <v>190</v>
      </c>
      <c r="AJ321" s="83">
        <v>186</v>
      </c>
      <c r="AK321" s="83">
        <v>188</v>
      </c>
      <c r="AL321" s="83">
        <v>173</v>
      </c>
      <c r="AM321" s="83">
        <v>173</v>
      </c>
      <c r="AN321" s="83">
        <v>171</v>
      </c>
      <c r="AO321" s="83">
        <v>165</v>
      </c>
      <c r="AP321" s="83">
        <v>156</v>
      </c>
      <c r="AQ321" s="83">
        <v>167</v>
      </c>
      <c r="AR321" s="83">
        <v>155</v>
      </c>
      <c r="AS321" s="83">
        <v>142</v>
      </c>
      <c r="AT321" s="83">
        <v>136</v>
      </c>
      <c r="AU321" s="83">
        <v>133</v>
      </c>
      <c r="AV321" s="83">
        <v>130</v>
      </c>
      <c r="AW321" s="83">
        <v>127</v>
      </c>
    </row>
    <row r="322" spans="1:49" x14ac:dyDescent="0.15">
      <c r="A322" s="83">
        <v>20200828</v>
      </c>
      <c r="B322" s="83">
        <v>88</v>
      </c>
      <c r="C322" s="83">
        <v>72</v>
      </c>
      <c r="D322" s="83">
        <v>75</v>
      </c>
      <c r="E322" s="83">
        <v>69</v>
      </c>
      <c r="F322" s="83">
        <v>65</v>
      </c>
      <c r="G322" s="83">
        <v>75</v>
      </c>
      <c r="H322" s="83">
        <v>74</v>
      </c>
      <c r="I322" s="83">
        <v>72</v>
      </c>
      <c r="J322" s="83">
        <v>70</v>
      </c>
      <c r="K322" s="83">
        <v>69</v>
      </c>
      <c r="L322" s="83">
        <v>105</v>
      </c>
      <c r="M322" s="83">
        <v>99</v>
      </c>
      <c r="N322" s="83">
        <v>125</v>
      </c>
      <c r="O322" s="83">
        <v>151</v>
      </c>
      <c r="P322" s="83">
        <v>147</v>
      </c>
      <c r="Q322" s="83">
        <v>153</v>
      </c>
      <c r="R322" s="83">
        <v>159</v>
      </c>
      <c r="S322" s="83">
        <v>180</v>
      </c>
      <c r="T322" s="83">
        <v>186</v>
      </c>
      <c r="U322" s="83">
        <v>186</v>
      </c>
      <c r="V322" s="83">
        <v>187</v>
      </c>
      <c r="W322" s="83">
        <v>190</v>
      </c>
      <c r="X322" s="83">
        <v>195</v>
      </c>
      <c r="Y322" s="83">
        <v>200</v>
      </c>
      <c r="Z322" s="83">
        <v>186</v>
      </c>
      <c r="AA322" s="83">
        <v>195</v>
      </c>
      <c r="AB322" s="83">
        <v>199</v>
      </c>
      <c r="AC322" s="83">
        <v>192</v>
      </c>
      <c r="AD322" s="83">
        <v>183</v>
      </c>
      <c r="AE322" s="83">
        <v>200</v>
      </c>
      <c r="AF322" s="83">
        <v>200</v>
      </c>
      <c r="AG322" s="83">
        <v>194</v>
      </c>
      <c r="AH322" s="83">
        <v>188</v>
      </c>
      <c r="AI322" s="83">
        <v>182</v>
      </c>
      <c r="AJ322" s="83">
        <v>180</v>
      </c>
      <c r="AK322" s="83">
        <v>176</v>
      </c>
      <c r="AL322" s="83">
        <v>159</v>
      </c>
      <c r="AM322" s="83">
        <v>172</v>
      </c>
      <c r="AN322" s="83">
        <v>163</v>
      </c>
      <c r="AO322" s="83">
        <v>158</v>
      </c>
      <c r="AP322" s="83">
        <v>150</v>
      </c>
      <c r="AQ322" s="83">
        <v>152</v>
      </c>
      <c r="AR322" s="83">
        <v>147</v>
      </c>
      <c r="AS322" s="83">
        <v>141</v>
      </c>
      <c r="AT322" s="83">
        <v>132</v>
      </c>
      <c r="AU322" s="83">
        <v>131</v>
      </c>
      <c r="AV322" s="83">
        <v>127</v>
      </c>
      <c r="AW322" s="83">
        <v>125</v>
      </c>
    </row>
    <row r="323" spans="1:49" x14ac:dyDescent="0.15">
      <c r="A323" s="83">
        <v>20200829</v>
      </c>
      <c r="B323" s="83">
        <v>90</v>
      </c>
      <c r="C323" s="83">
        <v>72</v>
      </c>
      <c r="D323" s="83">
        <v>70</v>
      </c>
      <c r="E323" s="83">
        <v>65</v>
      </c>
      <c r="F323" s="83">
        <v>63</v>
      </c>
      <c r="G323" s="83">
        <v>72</v>
      </c>
      <c r="H323" s="83">
        <v>70</v>
      </c>
      <c r="I323" s="83">
        <v>68</v>
      </c>
      <c r="J323" s="83">
        <v>65</v>
      </c>
      <c r="K323" s="83">
        <v>65</v>
      </c>
      <c r="L323" s="83">
        <v>65</v>
      </c>
      <c r="M323" s="83">
        <v>81</v>
      </c>
      <c r="N323" s="83">
        <v>106</v>
      </c>
      <c r="O323" s="83">
        <v>117</v>
      </c>
      <c r="P323" s="83">
        <v>140</v>
      </c>
      <c r="Q323" s="83">
        <v>146</v>
      </c>
      <c r="R323" s="83">
        <v>142</v>
      </c>
      <c r="S323" s="83">
        <v>174</v>
      </c>
      <c r="T323" s="83">
        <v>186</v>
      </c>
      <c r="U323" s="83">
        <v>195</v>
      </c>
      <c r="V323" s="83">
        <v>188</v>
      </c>
      <c r="W323" s="83">
        <v>193</v>
      </c>
      <c r="X323" s="83">
        <v>196</v>
      </c>
      <c r="Y323" s="83">
        <v>194</v>
      </c>
      <c r="Z323" s="83">
        <v>181</v>
      </c>
      <c r="AA323" s="83">
        <v>194</v>
      </c>
      <c r="AB323" s="83">
        <v>197</v>
      </c>
      <c r="AC323" s="83">
        <v>197</v>
      </c>
      <c r="AD323" s="83">
        <v>185</v>
      </c>
      <c r="AE323" s="83">
        <v>200</v>
      </c>
      <c r="AF323" s="83">
        <v>202</v>
      </c>
      <c r="AG323" s="83">
        <v>202</v>
      </c>
      <c r="AH323" s="83">
        <v>190</v>
      </c>
      <c r="AI323" s="83">
        <v>185</v>
      </c>
      <c r="AJ323" s="83">
        <v>180</v>
      </c>
      <c r="AK323" s="83">
        <v>178</v>
      </c>
      <c r="AL323" s="83">
        <v>160</v>
      </c>
      <c r="AM323" s="83">
        <v>170</v>
      </c>
      <c r="AN323" s="83">
        <v>160</v>
      </c>
      <c r="AO323" s="83">
        <v>154</v>
      </c>
      <c r="AP323" s="83">
        <v>149</v>
      </c>
      <c r="AQ323" s="83">
        <v>157</v>
      </c>
      <c r="AR323" s="83">
        <v>151</v>
      </c>
      <c r="AS323" s="83">
        <v>139</v>
      </c>
      <c r="AT323" s="83">
        <v>131</v>
      </c>
      <c r="AU323" s="83">
        <v>128</v>
      </c>
      <c r="AV323" s="83">
        <v>122</v>
      </c>
      <c r="AW323" s="83">
        <v>120</v>
      </c>
    </row>
    <row r="324" spans="1:49" x14ac:dyDescent="0.15">
      <c r="A324" s="83">
        <v>20200830</v>
      </c>
      <c r="B324" s="83">
        <v>85</v>
      </c>
      <c r="C324" s="83">
        <v>69</v>
      </c>
      <c r="D324" s="83">
        <v>71</v>
      </c>
      <c r="E324" s="83">
        <v>68</v>
      </c>
      <c r="F324" s="83">
        <v>62</v>
      </c>
      <c r="G324" s="83">
        <v>71</v>
      </c>
      <c r="H324" s="83">
        <v>69</v>
      </c>
      <c r="I324" s="83">
        <v>69</v>
      </c>
      <c r="J324" s="83">
        <v>64</v>
      </c>
      <c r="K324" s="83">
        <v>63</v>
      </c>
      <c r="L324" s="83">
        <v>62</v>
      </c>
      <c r="M324" s="83">
        <v>86</v>
      </c>
      <c r="N324" s="83">
        <v>109</v>
      </c>
      <c r="O324" s="83">
        <v>115</v>
      </c>
      <c r="P324" s="83">
        <v>132</v>
      </c>
      <c r="Q324" s="83">
        <v>147</v>
      </c>
      <c r="R324" s="83">
        <v>146</v>
      </c>
      <c r="S324" s="83">
        <v>177</v>
      </c>
      <c r="T324" s="83">
        <v>182</v>
      </c>
      <c r="U324" s="83">
        <v>180</v>
      </c>
      <c r="V324" s="83">
        <v>178</v>
      </c>
      <c r="W324" s="83">
        <v>188</v>
      </c>
      <c r="X324" s="83">
        <v>192</v>
      </c>
      <c r="Y324" s="83">
        <v>195</v>
      </c>
      <c r="Z324" s="83">
        <v>186</v>
      </c>
      <c r="AA324" s="83">
        <v>204</v>
      </c>
      <c r="AB324" s="83">
        <v>199</v>
      </c>
      <c r="AC324" s="83">
        <v>204</v>
      </c>
      <c r="AD324" s="83">
        <v>191</v>
      </c>
      <c r="AE324" s="83">
        <v>199</v>
      </c>
      <c r="AF324" s="83">
        <v>197</v>
      </c>
      <c r="AG324" s="83">
        <v>199</v>
      </c>
      <c r="AH324" s="83">
        <v>192</v>
      </c>
      <c r="AI324" s="83">
        <v>189</v>
      </c>
      <c r="AJ324" s="83">
        <v>181</v>
      </c>
      <c r="AK324" s="83">
        <v>176</v>
      </c>
      <c r="AL324" s="83">
        <v>157</v>
      </c>
      <c r="AM324" s="83">
        <v>162</v>
      </c>
      <c r="AN324" s="83">
        <v>163</v>
      </c>
      <c r="AO324" s="83">
        <v>162</v>
      </c>
      <c r="AP324" s="83">
        <v>155</v>
      </c>
      <c r="AQ324" s="83">
        <v>158</v>
      </c>
      <c r="AR324" s="83">
        <v>151</v>
      </c>
      <c r="AS324" s="83">
        <v>139</v>
      </c>
      <c r="AT324" s="83">
        <v>135</v>
      </c>
      <c r="AU324" s="83">
        <v>128</v>
      </c>
      <c r="AV324" s="83">
        <v>126</v>
      </c>
      <c r="AW324" s="83">
        <v>123</v>
      </c>
    </row>
    <row r="325" spans="1:49" x14ac:dyDescent="0.15">
      <c r="A325" s="83">
        <v>20200831</v>
      </c>
      <c r="B325" s="83">
        <v>88</v>
      </c>
      <c r="C325" s="83">
        <v>66</v>
      </c>
      <c r="D325" s="83">
        <v>69</v>
      </c>
      <c r="E325" s="83">
        <v>66</v>
      </c>
      <c r="F325" s="83">
        <v>59</v>
      </c>
      <c r="G325" s="83">
        <v>67</v>
      </c>
      <c r="H325" s="83">
        <v>68</v>
      </c>
      <c r="I325" s="83">
        <v>65</v>
      </c>
      <c r="J325" s="83">
        <v>62</v>
      </c>
      <c r="K325" s="83">
        <v>64</v>
      </c>
      <c r="L325" s="83">
        <v>71</v>
      </c>
      <c r="M325" s="83">
        <v>75</v>
      </c>
      <c r="N325" s="83">
        <v>112</v>
      </c>
      <c r="O325" s="83">
        <v>111</v>
      </c>
      <c r="P325" s="83">
        <v>134</v>
      </c>
      <c r="Q325" s="83">
        <v>137</v>
      </c>
      <c r="R325" s="83">
        <v>139</v>
      </c>
      <c r="S325" s="83">
        <v>159</v>
      </c>
      <c r="T325" s="83">
        <v>164</v>
      </c>
      <c r="U325" s="83">
        <v>163</v>
      </c>
      <c r="V325" s="83">
        <v>157</v>
      </c>
      <c r="W325" s="83">
        <v>153</v>
      </c>
      <c r="X325" s="83">
        <v>157</v>
      </c>
      <c r="Y325" s="83">
        <v>160</v>
      </c>
      <c r="Z325" s="83">
        <v>158</v>
      </c>
      <c r="AA325" s="83">
        <v>164</v>
      </c>
      <c r="AB325" s="83">
        <v>157</v>
      </c>
      <c r="AC325" s="83">
        <v>157</v>
      </c>
      <c r="AD325" s="83">
        <v>150</v>
      </c>
      <c r="AE325" s="83">
        <v>169</v>
      </c>
      <c r="AF325" s="83">
        <v>166</v>
      </c>
      <c r="AG325" s="83">
        <v>158</v>
      </c>
      <c r="AH325" s="83">
        <v>152</v>
      </c>
      <c r="AI325" s="83">
        <v>154</v>
      </c>
      <c r="AJ325" s="83">
        <v>154</v>
      </c>
      <c r="AK325" s="83">
        <v>148</v>
      </c>
      <c r="AL325" s="83">
        <v>132</v>
      </c>
      <c r="AM325" s="83">
        <v>147</v>
      </c>
      <c r="AN325" s="83">
        <v>138</v>
      </c>
      <c r="AO325" s="83">
        <v>135</v>
      </c>
      <c r="AP325" s="83">
        <v>119</v>
      </c>
      <c r="AQ325" s="83">
        <v>132</v>
      </c>
      <c r="AR325" s="83">
        <v>130</v>
      </c>
      <c r="AS325" s="83">
        <v>125</v>
      </c>
      <c r="AT325" s="83">
        <v>120</v>
      </c>
      <c r="AU325" s="83">
        <v>116</v>
      </c>
      <c r="AV325" s="83">
        <v>114</v>
      </c>
      <c r="AW325" s="83">
        <v>113</v>
      </c>
    </row>
    <row r="326" spans="1:49" x14ac:dyDescent="0.15">
      <c r="A326" s="72"/>
      <c r="B326" s="65">
        <f t="shared" ref="B326:AC326" si="11">AVERAGE(B298:B325)</f>
        <v>83.428571428571431</v>
      </c>
      <c r="C326" s="65">
        <f t="shared" si="11"/>
        <v>66.892857142857139</v>
      </c>
      <c r="D326" s="65">
        <f t="shared" si="11"/>
        <v>66.678571428571431</v>
      </c>
      <c r="E326" s="65">
        <f t="shared" si="11"/>
        <v>63.928571428571431</v>
      </c>
      <c r="F326" s="65">
        <f t="shared" si="11"/>
        <v>58.928571428571431</v>
      </c>
      <c r="G326" s="65">
        <f t="shared" si="11"/>
        <v>67.642857142857139</v>
      </c>
      <c r="H326" s="65">
        <f t="shared" si="11"/>
        <v>66</v>
      </c>
      <c r="I326" s="65">
        <f t="shared" si="11"/>
        <v>65.25</v>
      </c>
      <c r="J326" s="65">
        <f t="shared" si="11"/>
        <v>62.607142857142854</v>
      </c>
      <c r="K326" s="65">
        <f t="shared" si="11"/>
        <v>62.785714285714285</v>
      </c>
      <c r="L326" s="65">
        <f t="shared" si="11"/>
        <v>69.964285714285708</v>
      </c>
      <c r="M326" s="65">
        <f t="shared" si="11"/>
        <v>83.214285714285708</v>
      </c>
      <c r="N326" s="65">
        <f t="shared" si="11"/>
        <v>108.28571428571429</v>
      </c>
      <c r="O326" s="65">
        <f t="shared" si="11"/>
        <v>114.10714285714286</v>
      </c>
      <c r="P326" s="65">
        <f t="shared" si="11"/>
        <v>130</v>
      </c>
      <c r="Q326" s="65">
        <f t="shared" si="11"/>
        <v>140.28571428571428</v>
      </c>
      <c r="R326" s="65">
        <f t="shared" si="11"/>
        <v>141.03571428571428</v>
      </c>
      <c r="S326" s="65">
        <f t="shared" si="11"/>
        <v>166.35714285714286</v>
      </c>
      <c r="T326" s="65">
        <f t="shared" si="11"/>
        <v>173.60714285714286</v>
      </c>
      <c r="U326" s="65">
        <f t="shared" si="11"/>
        <v>172.85714285714286</v>
      </c>
      <c r="V326" s="65">
        <f t="shared" si="11"/>
        <v>173.39285714285714</v>
      </c>
      <c r="W326" s="65">
        <f t="shared" si="11"/>
        <v>175.5</v>
      </c>
      <c r="X326" s="65">
        <f t="shared" si="11"/>
        <v>178.32142857142858</v>
      </c>
      <c r="Y326" s="65">
        <f t="shared" si="11"/>
        <v>181.5</v>
      </c>
      <c r="Z326" s="65">
        <f t="shared" si="11"/>
        <v>172.82142857142858</v>
      </c>
      <c r="AA326" s="65">
        <f t="shared" si="11"/>
        <v>182.46428571428572</v>
      </c>
      <c r="AB326" s="65">
        <f t="shared" si="11"/>
        <v>180.96428571428572</v>
      </c>
      <c r="AC326" s="65">
        <f t="shared" si="11"/>
        <v>179.96428571428572</v>
      </c>
      <c r="AD326" s="65">
        <f t="shared" ref="AD326:AW326" si="12">AVERAGE(AD295:AD325)</f>
        <v>169.2258064516129</v>
      </c>
      <c r="AE326" s="65">
        <f t="shared" si="12"/>
        <v>183.83870967741936</v>
      </c>
      <c r="AF326" s="65">
        <f t="shared" si="12"/>
        <v>181.87096774193549</v>
      </c>
      <c r="AG326" s="65">
        <f t="shared" si="12"/>
        <v>177.96774193548387</v>
      </c>
      <c r="AH326" s="65">
        <f t="shared" si="12"/>
        <v>171.67741935483872</v>
      </c>
      <c r="AI326" s="65">
        <f t="shared" si="12"/>
        <v>168.41935483870967</v>
      </c>
      <c r="AJ326" s="65">
        <f t="shared" si="12"/>
        <v>164.54838709677421</v>
      </c>
      <c r="AK326" s="65">
        <f t="shared" si="12"/>
        <v>161.96774193548387</v>
      </c>
      <c r="AL326" s="65">
        <f t="shared" si="12"/>
        <v>145.80645161290323</v>
      </c>
      <c r="AM326" s="65">
        <f t="shared" si="12"/>
        <v>155.83870967741936</v>
      </c>
      <c r="AN326" s="65">
        <f t="shared" si="12"/>
        <v>149</v>
      </c>
      <c r="AO326" s="65">
        <f t="shared" si="12"/>
        <v>145.2258064516129</v>
      </c>
      <c r="AP326" s="65">
        <f t="shared" si="12"/>
        <v>135.16129032258064</v>
      </c>
      <c r="AQ326" s="65">
        <f t="shared" si="12"/>
        <v>143.74193548387098</v>
      </c>
      <c r="AR326" s="65">
        <f t="shared" si="12"/>
        <v>138.74193548387098</v>
      </c>
      <c r="AS326" s="65">
        <f t="shared" si="12"/>
        <v>130.45161290322579</v>
      </c>
      <c r="AT326" s="65">
        <f t="shared" si="12"/>
        <v>125.35483870967742</v>
      </c>
      <c r="AU326" s="65">
        <f t="shared" si="12"/>
        <v>122.06451612903226</v>
      </c>
      <c r="AV326" s="65">
        <f t="shared" si="12"/>
        <v>118.90322580645162</v>
      </c>
      <c r="AW326" s="65">
        <f t="shared" si="12"/>
        <v>116.6774193548387</v>
      </c>
    </row>
    <row r="327" spans="1:49" x14ac:dyDescent="0.15">
      <c r="A327" s="72"/>
      <c r="B327" s="173">
        <f>AVERAGE(B298:C326)</f>
        <v>75.160714285714278</v>
      </c>
      <c r="C327" s="173"/>
      <c r="D327" s="173">
        <f>AVERAGE(D298:E326)</f>
        <v>65.303571428571431</v>
      </c>
      <c r="E327" s="173"/>
      <c r="F327" s="173">
        <f>AVERAGE(F298:G326)</f>
        <v>63.285714285714292</v>
      </c>
      <c r="G327" s="173"/>
      <c r="H327" s="173">
        <f>AVERAGE(H298:I326)</f>
        <v>65.625</v>
      </c>
      <c r="I327" s="173"/>
      <c r="J327" s="173">
        <f>AVERAGE(J298:K326)</f>
        <v>62.696428571428569</v>
      </c>
      <c r="K327" s="173"/>
      <c r="L327" s="173">
        <f>AVERAGE(L298:M326)</f>
        <v>76.589285714285694</v>
      </c>
      <c r="M327" s="173"/>
      <c r="N327" s="173">
        <f>AVERAGE(N298:O326)</f>
        <v>111.19642857142858</v>
      </c>
      <c r="O327" s="173"/>
      <c r="P327" s="173">
        <f>AVERAGE(P298:Q326)</f>
        <v>135.14285714285714</v>
      </c>
      <c r="Q327" s="173"/>
      <c r="R327" s="173">
        <f>AVERAGE(R298:S326)</f>
        <v>153.69642857142856</v>
      </c>
      <c r="S327" s="173"/>
      <c r="T327" s="173">
        <f>AVERAGE(T298:U326)</f>
        <v>173.23214285714286</v>
      </c>
      <c r="U327" s="173"/>
      <c r="V327" s="173">
        <f>AVERAGE(V298:W326)</f>
        <v>174.44642857142856</v>
      </c>
      <c r="W327" s="173"/>
      <c r="X327" s="173">
        <f>AVERAGE(X298:Y326)</f>
        <v>179.91071428571431</v>
      </c>
      <c r="Y327" s="173"/>
      <c r="Z327" s="173">
        <f>AVERAGE(Z298:AA326)</f>
        <v>177.64285714285717</v>
      </c>
      <c r="AA327" s="173"/>
      <c r="AB327" s="173">
        <f>AVERAGE(AB298:AC326)</f>
        <v>180.46428571428572</v>
      </c>
      <c r="AC327" s="173"/>
      <c r="AD327" s="173">
        <f>AVERAGE(AD295:AE326)</f>
        <v>176.53225806451613</v>
      </c>
      <c r="AE327" s="173"/>
      <c r="AF327" s="173">
        <f>AVERAGE(AF295:AG326)</f>
        <v>179.91935483870967</v>
      </c>
      <c r="AG327" s="173"/>
      <c r="AH327" s="173">
        <f>AVERAGE(AH295:AI326)</f>
        <v>170.04838709677421</v>
      </c>
      <c r="AI327" s="173"/>
      <c r="AJ327" s="173">
        <f>AVERAGE(AJ295:AK326)</f>
        <v>163.25806451612902</v>
      </c>
      <c r="AK327" s="173"/>
      <c r="AL327" s="173">
        <f>AVERAGE(AL295:AM326)</f>
        <v>150.82258064516128</v>
      </c>
      <c r="AM327" s="173"/>
      <c r="AN327" s="173">
        <f>AVERAGE(AN295:AO326)</f>
        <v>147.11290322580646</v>
      </c>
      <c r="AO327" s="173"/>
      <c r="AP327" s="173">
        <f>AVERAGE(AP295:AQ326)</f>
        <v>139.45161290322582</v>
      </c>
      <c r="AQ327" s="173"/>
      <c r="AR327" s="173">
        <f>AVERAGE(AR295:AS326)</f>
        <v>134.59677419354838</v>
      </c>
      <c r="AS327" s="173"/>
      <c r="AT327" s="173">
        <f>AVERAGE(AT295:AU326)</f>
        <v>123.70967741935483</v>
      </c>
      <c r="AU327" s="173"/>
      <c r="AV327" s="173">
        <f>AVERAGE(AV295:AW326)</f>
        <v>117.79032258064517</v>
      </c>
      <c r="AW327" s="173"/>
    </row>
    <row r="328" spans="1:49" x14ac:dyDescent="0.15">
      <c r="A328" s="83">
        <v>20200901</v>
      </c>
      <c r="B328" s="83">
        <v>80</v>
      </c>
      <c r="C328" s="83">
        <v>62</v>
      </c>
      <c r="D328" s="83">
        <v>63</v>
      </c>
      <c r="E328" s="83">
        <v>59</v>
      </c>
      <c r="F328" s="83">
        <v>56</v>
      </c>
      <c r="G328" s="83">
        <v>65</v>
      </c>
      <c r="H328" s="83">
        <v>69</v>
      </c>
      <c r="I328" s="83">
        <v>67</v>
      </c>
      <c r="J328" s="83">
        <v>65</v>
      </c>
      <c r="K328" s="83">
        <v>63</v>
      </c>
      <c r="L328" s="83">
        <v>64</v>
      </c>
      <c r="M328" s="83">
        <v>79</v>
      </c>
      <c r="N328" s="83">
        <v>109</v>
      </c>
      <c r="O328" s="83">
        <v>111</v>
      </c>
      <c r="P328" s="83">
        <v>128</v>
      </c>
      <c r="Q328" s="83">
        <v>133</v>
      </c>
      <c r="R328" s="83">
        <v>135</v>
      </c>
      <c r="S328" s="83">
        <v>165</v>
      </c>
      <c r="T328" s="83">
        <v>156</v>
      </c>
      <c r="U328" s="83">
        <v>167</v>
      </c>
      <c r="V328" s="83">
        <v>165</v>
      </c>
      <c r="W328" s="83">
        <v>175</v>
      </c>
      <c r="X328" s="83">
        <v>173</v>
      </c>
      <c r="Y328" s="83">
        <v>171</v>
      </c>
      <c r="Z328" s="83">
        <v>155</v>
      </c>
      <c r="AA328" s="83">
        <v>176</v>
      </c>
      <c r="AB328" s="83">
        <v>166</v>
      </c>
      <c r="AC328" s="83">
        <v>167</v>
      </c>
      <c r="AD328" s="83">
        <v>159</v>
      </c>
      <c r="AE328" s="83">
        <v>176</v>
      </c>
      <c r="AF328" s="83">
        <v>170</v>
      </c>
      <c r="AG328" s="83">
        <v>163</v>
      </c>
      <c r="AH328" s="83">
        <v>156</v>
      </c>
      <c r="AI328" s="83">
        <v>152</v>
      </c>
      <c r="AJ328" s="83">
        <v>152</v>
      </c>
      <c r="AK328" s="83">
        <v>147</v>
      </c>
      <c r="AL328" s="83">
        <v>131</v>
      </c>
      <c r="AM328" s="83">
        <v>142</v>
      </c>
      <c r="AN328" s="83">
        <v>137</v>
      </c>
      <c r="AO328" s="83">
        <v>138</v>
      </c>
      <c r="AP328" s="83">
        <v>125</v>
      </c>
      <c r="AQ328" s="83">
        <v>136</v>
      </c>
      <c r="AR328" s="83">
        <v>137</v>
      </c>
      <c r="AS328" s="83">
        <v>126</v>
      </c>
      <c r="AT328" s="83">
        <v>126</v>
      </c>
      <c r="AU328" s="83">
        <v>124</v>
      </c>
      <c r="AV328" s="83">
        <v>121</v>
      </c>
      <c r="AW328" s="83">
        <v>117</v>
      </c>
    </row>
    <row r="329" spans="1:49" x14ac:dyDescent="0.15">
      <c r="A329" s="83">
        <v>20200902</v>
      </c>
      <c r="B329" s="83">
        <v>82</v>
      </c>
      <c r="C329" s="83">
        <v>66</v>
      </c>
      <c r="D329" s="83">
        <v>67</v>
      </c>
      <c r="E329" s="83">
        <v>63</v>
      </c>
      <c r="F329" s="83">
        <v>60</v>
      </c>
      <c r="G329" s="83">
        <v>69</v>
      </c>
      <c r="H329" s="83">
        <v>66</v>
      </c>
      <c r="I329" s="83">
        <v>65</v>
      </c>
      <c r="J329" s="83">
        <v>63</v>
      </c>
      <c r="K329" s="83">
        <v>63</v>
      </c>
      <c r="L329" s="83">
        <v>60</v>
      </c>
      <c r="M329" s="83">
        <v>86</v>
      </c>
      <c r="N329" s="83">
        <v>110</v>
      </c>
      <c r="O329" s="83">
        <v>108</v>
      </c>
      <c r="P329" s="83">
        <v>132</v>
      </c>
      <c r="Q329" s="83">
        <v>142</v>
      </c>
      <c r="R329" s="83">
        <v>146</v>
      </c>
      <c r="S329" s="83">
        <v>171</v>
      </c>
      <c r="T329" s="83">
        <v>175</v>
      </c>
      <c r="U329" s="83">
        <v>175</v>
      </c>
      <c r="V329" s="83">
        <v>171</v>
      </c>
      <c r="W329" s="83">
        <v>172</v>
      </c>
      <c r="X329" s="83">
        <v>175</v>
      </c>
      <c r="Y329" s="83">
        <v>177</v>
      </c>
      <c r="Z329" s="83">
        <v>166</v>
      </c>
      <c r="AA329" s="83">
        <v>174</v>
      </c>
      <c r="AB329" s="83">
        <v>173</v>
      </c>
      <c r="AC329" s="83">
        <v>170</v>
      </c>
      <c r="AD329" s="83">
        <v>165</v>
      </c>
      <c r="AE329" s="83">
        <v>178</v>
      </c>
      <c r="AF329" s="83">
        <v>174</v>
      </c>
      <c r="AG329" s="83">
        <v>174</v>
      </c>
      <c r="AH329" s="83">
        <v>164</v>
      </c>
      <c r="AI329" s="83">
        <v>163</v>
      </c>
      <c r="AJ329" s="83">
        <v>160</v>
      </c>
      <c r="AK329" s="83">
        <v>156</v>
      </c>
      <c r="AL329" s="83">
        <v>142</v>
      </c>
      <c r="AM329" s="83">
        <v>151</v>
      </c>
      <c r="AN329" s="83">
        <v>148</v>
      </c>
      <c r="AO329" s="83">
        <v>147</v>
      </c>
      <c r="AP329" s="83">
        <v>140</v>
      </c>
      <c r="AQ329" s="83">
        <v>147</v>
      </c>
      <c r="AR329" s="83">
        <v>146</v>
      </c>
      <c r="AS329" s="83">
        <v>136</v>
      </c>
      <c r="AT329" s="83">
        <v>130</v>
      </c>
      <c r="AU329" s="83">
        <v>129</v>
      </c>
      <c r="AV329" s="83">
        <v>128</v>
      </c>
      <c r="AW329" s="83">
        <v>126</v>
      </c>
    </row>
    <row r="330" spans="1:49" x14ac:dyDescent="0.15">
      <c r="A330" s="83">
        <v>20200903</v>
      </c>
      <c r="B330" s="83">
        <v>102</v>
      </c>
      <c r="C330" s="83">
        <v>93</v>
      </c>
      <c r="D330" s="83">
        <v>93</v>
      </c>
      <c r="E330" s="83">
        <v>94</v>
      </c>
      <c r="F330" s="83">
        <v>89</v>
      </c>
      <c r="G330" s="83">
        <v>100</v>
      </c>
      <c r="H330" s="83">
        <v>98</v>
      </c>
      <c r="I330" s="83">
        <v>97</v>
      </c>
      <c r="J330" s="83">
        <v>94</v>
      </c>
      <c r="K330" s="83">
        <v>93</v>
      </c>
      <c r="L330" s="83">
        <v>92</v>
      </c>
      <c r="M330" s="83">
        <v>95</v>
      </c>
      <c r="N330" s="83">
        <v>135</v>
      </c>
      <c r="O330" s="83">
        <v>142</v>
      </c>
      <c r="P330" s="83">
        <v>159</v>
      </c>
      <c r="Q330" s="83">
        <v>169</v>
      </c>
      <c r="R330" s="83">
        <v>164</v>
      </c>
      <c r="S330" s="83">
        <v>184</v>
      </c>
      <c r="T330" s="83">
        <v>196</v>
      </c>
      <c r="U330" s="83">
        <v>191</v>
      </c>
      <c r="V330" s="83">
        <v>193</v>
      </c>
      <c r="W330" s="83">
        <v>199</v>
      </c>
      <c r="X330" s="83">
        <v>202</v>
      </c>
      <c r="Y330" s="83">
        <v>201</v>
      </c>
      <c r="Z330" s="83">
        <v>198</v>
      </c>
      <c r="AA330" s="83">
        <v>206</v>
      </c>
      <c r="AB330" s="83">
        <v>201</v>
      </c>
      <c r="AC330" s="83">
        <v>200</v>
      </c>
      <c r="AD330" s="83">
        <v>186</v>
      </c>
      <c r="AE330" s="83">
        <v>198</v>
      </c>
      <c r="AF330" s="83">
        <v>192</v>
      </c>
      <c r="AG330" s="83">
        <v>194</v>
      </c>
      <c r="AH330" s="83">
        <v>185</v>
      </c>
      <c r="AI330" s="83">
        <v>182</v>
      </c>
      <c r="AJ330" s="83">
        <v>181</v>
      </c>
      <c r="AK330" s="83">
        <v>185</v>
      </c>
      <c r="AL330" s="83">
        <v>166</v>
      </c>
      <c r="AM330" s="83">
        <v>169</v>
      </c>
      <c r="AN330" s="83">
        <v>166</v>
      </c>
      <c r="AO330" s="83">
        <v>165</v>
      </c>
      <c r="AP330" s="83">
        <v>153</v>
      </c>
      <c r="AQ330" s="83">
        <v>162</v>
      </c>
      <c r="AR330" s="83">
        <v>153</v>
      </c>
      <c r="AS330" s="83">
        <v>147</v>
      </c>
      <c r="AT330" s="83">
        <v>139</v>
      </c>
      <c r="AU330" s="83">
        <v>137</v>
      </c>
      <c r="AV330" s="83">
        <v>134</v>
      </c>
      <c r="AW330" s="83">
        <v>130</v>
      </c>
    </row>
    <row r="331" spans="1:49" x14ac:dyDescent="0.15">
      <c r="A331" s="83">
        <v>20200904</v>
      </c>
      <c r="B331" s="83">
        <v>93</v>
      </c>
      <c r="C331" s="83">
        <v>74</v>
      </c>
      <c r="D331" s="83">
        <v>73</v>
      </c>
      <c r="E331" s="83">
        <v>73</v>
      </c>
      <c r="F331" s="83">
        <v>68</v>
      </c>
      <c r="G331" s="83">
        <v>74</v>
      </c>
      <c r="H331" s="83">
        <v>74</v>
      </c>
      <c r="I331" s="83">
        <v>71</v>
      </c>
      <c r="J331" s="83">
        <v>67</v>
      </c>
      <c r="K331" s="83">
        <v>69</v>
      </c>
      <c r="L331" s="83">
        <v>66</v>
      </c>
      <c r="M331" s="83">
        <v>85</v>
      </c>
      <c r="N331" s="83">
        <v>110</v>
      </c>
      <c r="O331" s="83">
        <v>114</v>
      </c>
      <c r="P331" s="83">
        <v>132</v>
      </c>
      <c r="Q331" s="83">
        <v>142</v>
      </c>
      <c r="R331" s="83">
        <v>137</v>
      </c>
      <c r="S331" s="83">
        <v>169</v>
      </c>
      <c r="T331" s="83">
        <v>173</v>
      </c>
      <c r="U331" s="83">
        <v>168</v>
      </c>
      <c r="V331" s="83">
        <v>165</v>
      </c>
      <c r="W331" s="83">
        <v>170</v>
      </c>
      <c r="X331" s="83">
        <v>174</v>
      </c>
      <c r="Y331" s="83">
        <v>182</v>
      </c>
      <c r="Z331" s="83">
        <v>171</v>
      </c>
      <c r="AA331" s="83">
        <v>186</v>
      </c>
      <c r="AB331" s="83">
        <v>185</v>
      </c>
      <c r="AC331" s="83">
        <v>182</v>
      </c>
      <c r="AD331" s="83">
        <v>170</v>
      </c>
      <c r="AE331" s="83">
        <v>185</v>
      </c>
      <c r="AF331" s="83">
        <v>178</v>
      </c>
      <c r="AG331" s="83">
        <v>177</v>
      </c>
      <c r="AH331" s="83">
        <v>164</v>
      </c>
      <c r="AI331" s="83">
        <v>160</v>
      </c>
      <c r="AJ331" s="83">
        <v>156</v>
      </c>
      <c r="AK331" s="83">
        <v>154</v>
      </c>
      <c r="AL331" s="83">
        <v>141</v>
      </c>
      <c r="AM331" s="83">
        <v>150</v>
      </c>
      <c r="AN331" s="83">
        <v>140</v>
      </c>
      <c r="AO331" s="83">
        <v>138</v>
      </c>
      <c r="AP331" s="83">
        <v>122</v>
      </c>
      <c r="AQ331" s="83">
        <v>135</v>
      </c>
      <c r="AR331" s="83">
        <v>133</v>
      </c>
      <c r="AS331" s="83">
        <v>127</v>
      </c>
      <c r="AT331" s="83">
        <v>120</v>
      </c>
      <c r="AU331" s="83">
        <v>118</v>
      </c>
      <c r="AV331" s="83">
        <v>116</v>
      </c>
      <c r="AW331" s="83">
        <v>117</v>
      </c>
    </row>
    <row r="332" spans="1:49" x14ac:dyDescent="0.15">
      <c r="A332" s="83">
        <v>20200905</v>
      </c>
      <c r="B332" s="83">
        <v>82</v>
      </c>
      <c r="C332" s="83">
        <v>64</v>
      </c>
      <c r="D332" s="83">
        <v>62</v>
      </c>
      <c r="E332" s="83">
        <v>62</v>
      </c>
      <c r="F332" s="83">
        <v>57</v>
      </c>
      <c r="G332" s="83">
        <v>64</v>
      </c>
      <c r="H332" s="83">
        <v>64</v>
      </c>
      <c r="I332" s="83">
        <v>62</v>
      </c>
      <c r="J332" s="83">
        <v>58</v>
      </c>
      <c r="K332" s="83">
        <v>59</v>
      </c>
      <c r="L332" s="83">
        <v>59</v>
      </c>
      <c r="M332" s="83">
        <v>67</v>
      </c>
      <c r="N332" s="83">
        <v>110</v>
      </c>
      <c r="O332" s="83">
        <v>119</v>
      </c>
      <c r="P332" s="83">
        <v>129</v>
      </c>
      <c r="Q332" s="83">
        <v>138</v>
      </c>
      <c r="R332" s="83">
        <v>137</v>
      </c>
      <c r="S332" s="83">
        <v>168</v>
      </c>
      <c r="T332" s="83">
        <v>178</v>
      </c>
      <c r="U332" s="83">
        <v>176</v>
      </c>
      <c r="V332" s="83">
        <v>180</v>
      </c>
      <c r="W332" s="83">
        <v>177</v>
      </c>
      <c r="X332" s="83">
        <v>180</v>
      </c>
      <c r="Y332" s="83">
        <v>190</v>
      </c>
      <c r="Z332" s="83">
        <v>183</v>
      </c>
      <c r="AA332" s="83">
        <v>191</v>
      </c>
      <c r="AB332" s="83">
        <v>193</v>
      </c>
      <c r="AC332" s="83">
        <v>191</v>
      </c>
      <c r="AD332" s="83">
        <v>176</v>
      </c>
      <c r="AE332" s="83">
        <v>193</v>
      </c>
      <c r="AF332" s="83">
        <v>195</v>
      </c>
      <c r="AG332" s="83">
        <v>188</v>
      </c>
      <c r="AH332" s="83">
        <v>180</v>
      </c>
      <c r="AI332" s="83">
        <v>175</v>
      </c>
      <c r="AJ332" s="83">
        <v>168</v>
      </c>
      <c r="AK332" s="83">
        <v>166</v>
      </c>
      <c r="AL332" s="83">
        <v>154</v>
      </c>
      <c r="AM332" s="83">
        <v>162</v>
      </c>
      <c r="AN332" s="83">
        <v>155</v>
      </c>
      <c r="AO332" s="83">
        <v>151</v>
      </c>
      <c r="AP332" s="83">
        <v>142</v>
      </c>
      <c r="AQ332" s="83">
        <v>147</v>
      </c>
      <c r="AR332" s="83">
        <v>141</v>
      </c>
      <c r="AS332" s="83">
        <v>136</v>
      </c>
      <c r="AT332" s="83">
        <v>132</v>
      </c>
      <c r="AU332" s="83">
        <v>128</v>
      </c>
      <c r="AV332" s="83">
        <v>127</v>
      </c>
      <c r="AW332" s="83">
        <v>120</v>
      </c>
    </row>
    <row r="333" spans="1:49" x14ac:dyDescent="0.15">
      <c r="A333" s="83">
        <v>20200906</v>
      </c>
      <c r="B333" s="83">
        <v>86</v>
      </c>
      <c r="C333" s="83">
        <v>70</v>
      </c>
      <c r="D333" s="83">
        <v>70</v>
      </c>
      <c r="E333" s="83">
        <v>68</v>
      </c>
      <c r="F333" s="83">
        <v>61</v>
      </c>
      <c r="G333" s="83">
        <v>73</v>
      </c>
      <c r="H333" s="83">
        <v>71</v>
      </c>
      <c r="I333" s="83">
        <v>69</v>
      </c>
      <c r="J333" s="83">
        <v>65</v>
      </c>
      <c r="K333" s="83">
        <v>66</v>
      </c>
      <c r="L333" s="83">
        <v>65</v>
      </c>
      <c r="M333" s="83">
        <v>95</v>
      </c>
      <c r="N333" s="83">
        <v>118</v>
      </c>
      <c r="O333" s="83">
        <v>126</v>
      </c>
      <c r="P333" s="83">
        <v>138</v>
      </c>
      <c r="Q333" s="83">
        <v>151</v>
      </c>
      <c r="R333" s="83">
        <v>150</v>
      </c>
      <c r="S333" s="83">
        <v>174</v>
      </c>
      <c r="T333" s="83">
        <v>181</v>
      </c>
      <c r="U333" s="83">
        <v>182</v>
      </c>
      <c r="V333" s="83">
        <v>182</v>
      </c>
      <c r="W333" s="83">
        <v>178</v>
      </c>
      <c r="X333" s="83">
        <v>187</v>
      </c>
      <c r="Y333" s="83">
        <v>192</v>
      </c>
      <c r="Z333" s="83">
        <v>174</v>
      </c>
      <c r="AA333" s="83">
        <v>184</v>
      </c>
      <c r="AB333" s="83">
        <v>182</v>
      </c>
      <c r="AC333" s="83">
        <v>187</v>
      </c>
      <c r="AD333" s="83">
        <v>176</v>
      </c>
      <c r="AE333" s="83">
        <v>184</v>
      </c>
      <c r="AF333" s="83">
        <v>193</v>
      </c>
      <c r="AG333" s="83">
        <v>185</v>
      </c>
      <c r="AH333" s="83">
        <v>176</v>
      </c>
      <c r="AI333" s="83">
        <v>173</v>
      </c>
      <c r="AJ333" s="83">
        <v>175</v>
      </c>
      <c r="AK333" s="83">
        <v>169</v>
      </c>
      <c r="AL333" s="83">
        <v>152</v>
      </c>
      <c r="AM333" s="83">
        <v>169</v>
      </c>
      <c r="AN333" s="83">
        <v>157</v>
      </c>
      <c r="AO333" s="83">
        <v>151</v>
      </c>
      <c r="AP333" s="83">
        <v>146</v>
      </c>
      <c r="AQ333" s="83">
        <v>156</v>
      </c>
      <c r="AR333" s="83">
        <v>152</v>
      </c>
      <c r="AS333" s="83">
        <v>134</v>
      </c>
      <c r="AT333" s="83">
        <v>128</v>
      </c>
      <c r="AU333" s="83">
        <v>127</v>
      </c>
      <c r="AV333" s="83">
        <v>125</v>
      </c>
      <c r="AW333" s="83">
        <v>122</v>
      </c>
    </row>
    <row r="334" spans="1:49" x14ac:dyDescent="0.15">
      <c r="A334" s="83">
        <v>20200907</v>
      </c>
      <c r="B334" s="83">
        <v>86</v>
      </c>
      <c r="C334" s="83">
        <v>70</v>
      </c>
      <c r="D334" s="83">
        <v>68</v>
      </c>
      <c r="E334" s="83">
        <v>69</v>
      </c>
      <c r="F334" s="83">
        <v>63</v>
      </c>
      <c r="G334" s="83">
        <v>73</v>
      </c>
      <c r="H334" s="83">
        <v>71</v>
      </c>
      <c r="I334" s="83">
        <v>69</v>
      </c>
      <c r="J334" s="83">
        <v>66</v>
      </c>
      <c r="K334" s="83">
        <v>67</v>
      </c>
      <c r="L334" s="83">
        <v>74</v>
      </c>
      <c r="M334" s="83">
        <v>84</v>
      </c>
      <c r="N334" s="83">
        <v>120</v>
      </c>
      <c r="O334" s="83">
        <v>118</v>
      </c>
      <c r="P334" s="83">
        <v>135</v>
      </c>
      <c r="Q334" s="83">
        <v>144</v>
      </c>
      <c r="R334" s="83">
        <v>142</v>
      </c>
      <c r="S334" s="83">
        <v>166</v>
      </c>
      <c r="T334" s="83">
        <v>173</v>
      </c>
      <c r="U334" s="83">
        <v>174</v>
      </c>
      <c r="V334" s="83">
        <v>174</v>
      </c>
      <c r="W334" s="83">
        <v>176</v>
      </c>
      <c r="X334" s="83">
        <v>176</v>
      </c>
      <c r="Y334" s="83">
        <v>179</v>
      </c>
      <c r="Z334" s="83">
        <v>169</v>
      </c>
      <c r="AA334" s="83">
        <v>181</v>
      </c>
      <c r="AB334" s="83">
        <v>171</v>
      </c>
      <c r="AC334" s="83">
        <v>172</v>
      </c>
      <c r="AD334" s="83">
        <v>161</v>
      </c>
      <c r="AE334" s="83">
        <v>170</v>
      </c>
      <c r="AF334" s="83">
        <v>164</v>
      </c>
      <c r="AG334" s="83">
        <v>161</v>
      </c>
      <c r="AH334" s="83">
        <v>160</v>
      </c>
      <c r="AI334" s="83">
        <v>158</v>
      </c>
      <c r="AJ334" s="83">
        <v>159</v>
      </c>
      <c r="AK334" s="83">
        <v>155</v>
      </c>
      <c r="AL334" s="83">
        <v>137</v>
      </c>
      <c r="AM334" s="83">
        <v>149</v>
      </c>
      <c r="AN334" s="83">
        <v>141</v>
      </c>
      <c r="AO334" s="83">
        <v>145</v>
      </c>
      <c r="AP334" s="83">
        <v>129</v>
      </c>
      <c r="AQ334" s="83">
        <v>140</v>
      </c>
      <c r="AR334" s="83">
        <v>140</v>
      </c>
      <c r="AS334" s="83">
        <v>133</v>
      </c>
      <c r="AT334" s="83">
        <v>129</v>
      </c>
      <c r="AU334" s="83">
        <v>127</v>
      </c>
      <c r="AV334" s="83">
        <v>126</v>
      </c>
      <c r="AW334" s="83">
        <v>120</v>
      </c>
    </row>
    <row r="335" spans="1:49" x14ac:dyDescent="0.15">
      <c r="A335" s="83">
        <v>20200908</v>
      </c>
      <c r="B335" s="83">
        <v>83</v>
      </c>
      <c r="C335" s="83">
        <v>66</v>
      </c>
      <c r="D335" s="83">
        <v>69</v>
      </c>
      <c r="E335" s="83">
        <v>65</v>
      </c>
      <c r="F335" s="83">
        <v>61</v>
      </c>
      <c r="G335" s="83">
        <v>70</v>
      </c>
      <c r="H335" s="83">
        <v>68</v>
      </c>
      <c r="I335" s="83">
        <v>67</v>
      </c>
      <c r="J335" s="83">
        <v>63</v>
      </c>
      <c r="K335" s="83">
        <v>62</v>
      </c>
      <c r="L335" s="83">
        <v>63</v>
      </c>
      <c r="M335" s="83">
        <v>73</v>
      </c>
      <c r="N335" s="83">
        <v>115</v>
      </c>
      <c r="O335" s="83">
        <v>116</v>
      </c>
      <c r="P335" s="83">
        <v>134</v>
      </c>
      <c r="Q335" s="83">
        <v>149</v>
      </c>
      <c r="R335" s="83">
        <v>146</v>
      </c>
      <c r="S335" s="83">
        <v>173</v>
      </c>
      <c r="T335" s="83">
        <v>181</v>
      </c>
      <c r="U335" s="83">
        <v>187</v>
      </c>
      <c r="V335" s="83">
        <v>187</v>
      </c>
      <c r="W335" s="83">
        <v>187</v>
      </c>
      <c r="X335" s="83">
        <v>185</v>
      </c>
      <c r="Y335" s="83">
        <v>191</v>
      </c>
      <c r="Z335" s="83">
        <v>178</v>
      </c>
      <c r="AA335" s="83">
        <v>189</v>
      </c>
      <c r="AB335" s="83">
        <v>188</v>
      </c>
      <c r="AC335" s="83">
        <v>184</v>
      </c>
      <c r="AD335" s="83">
        <v>178</v>
      </c>
      <c r="AE335" s="83">
        <v>190</v>
      </c>
      <c r="AF335" s="83">
        <v>188</v>
      </c>
      <c r="AG335" s="83">
        <v>178</v>
      </c>
      <c r="AH335" s="83">
        <v>172</v>
      </c>
      <c r="AI335" s="83">
        <v>173</v>
      </c>
      <c r="AJ335" s="83">
        <v>166</v>
      </c>
      <c r="AK335" s="83">
        <v>170</v>
      </c>
      <c r="AL335" s="83">
        <v>153</v>
      </c>
      <c r="AM335" s="83">
        <v>160</v>
      </c>
      <c r="AN335" s="83">
        <v>147</v>
      </c>
      <c r="AO335" s="83">
        <v>145</v>
      </c>
      <c r="AP335" s="83">
        <v>129</v>
      </c>
      <c r="AQ335" s="83">
        <v>141</v>
      </c>
      <c r="AR335" s="83">
        <v>142</v>
      </c>
      <c r="AS335" s="83">
        <v>134</v>
      </c>
      <c r="AT335" s="83">
        <v>127</v>
      </c>
      <c r="AU335" s="83">
        <v>126</v>
      </c>
      <c r="AV335" s="83">
        <v>123</v>
      </c>
      <c r="AW335" s="83">
        <v>118</v>
      </c>
    </row>
    <row r="336" spans="1:49" x14ac:dyDescent="0.15">
      <c r="A336" s="83">
        <v>20200909</v>
      </c>
      <c r="B336" s="83">
        <v>86</v>
      </c>
      <c r="C336" s="83">
        <v>66</v>
      </c>
      <c r="D336" s="83">
        <v>68</v>
      </c>
      <c r="E336" s="83">
        <v>66</v>
      </c>
      <c r="F336" s="83">
        <v>61</v>
      </c>
      <c r="G336" s="83">
        <v>68</v>
      </c>
      <c r="H336" s="83">
        <v>67</v>
      </c>
      <c r="I336" s="83">
        <v>65</v>
      </c>
      <c r="J336" s="83">
        <v>65</v>
      </c>
      <c r="K336" s="83">
        <v>62</v>
      </c>
      <c r="L336" s="83">
        <v>61</v>
      </c>
      <c r="M336" s="83">
        <v>89</v>
      </c>
      <c r="N336" s="83">
        <v>99</v>
      </c>
      <c r="O336" s="83">
        <v>108</v>
      </c>
      <c r="P336" s="83">
        <v>127</v>
      </c>
      <c r="Q336" s="83">
        <v>145</v>
      </c>
      <c r="R336" s="83">
        <v>137</v>
      </c>
      <c r="S336" s="83">
        <v>166</v>
      </c>
      <c r="T336" s="83">
        <v>173</v>
      </c>
      <c r="U336" s="83">
        <v>179</v>
      </c>
      <c r="V336" s="83">
        <v>176</v>
      </c>
      <c r="W336" s="83">
        <v>176</v>
      </c>
      <c r="X336" s="83">
        <v>181</v>
      </c>
      <c r="Y336" s="83">
        <v>192</v>
      </c>
      <c r="Z336" s="83">
        <v>175</v>
      </c>
      <c r="AA336" s="83">
        <v>181</v>
      </c>
      <c r="AB336" s="83">
        <v>187</v>
      </c>
      <c r="AC336" s="83">
        <v>186</v>
      </c>
      <c r="AD336" s="83">
        <v>173</v>
      </c>
      <c r="AE336" s="83">
        <v>191</v>
      </c>
      <c r="AF336" s="83">
        <v>186</v>
      </c>
      <c r="AG336" s="83">
        <v>179</v>
      </c>
      <c r="AH336" s="83">
        <v>172</v>
      </c>
      <c r="AI336" s="83">
        <v>169</v>
      </c>
      <c r="AJ336" s="83">
        <v>164</v>
      </c>
      <c r="AK336" s="83">
        <v>149</v>
      </c>
      <c r="AL336" s="83">
        <v>142</v>
      </c>
      <c r="AM336" s="83">
        <v>142</v>
      </c>
      <c r="AN336" s="83">
        <v>140</v>
      </c>
      <c r="AO336" s="83">
        <v>140</v>
      </c>
      <c r="AP336" s="83">
        <v>127</v>
      </c>
      <c r="AQ336" s="83">
        <v>132</v>
      </c>
      <c r="AR336" s="83">
        <v>129</v>
      </c>
      <c r="AS336" s="83">
        <v>121</v>
      </c>
      <c r="AT336" s="83">
        <v>117</v>
      </c>
      <c r="AU336" s="83">
        <v>116</v>
      </c>
      <c r="AV336" s="83">
        <v>116</v>
      </c>
      <c r="AW336" s="83">
        <v>114</v>
      </c>
    </row>
    <row r="337" spans="1:49" x14ac:dyDescent="0.15">
      <c r="A337" s="83">
        <v>20200910</v>
      </c>
      <c r="B337" s="83">
        <v>80</v>
      </c>
      <c r="C337" s="83">
        <v>62</v>
      </c>
      <c r="D337" s="83">
        <v>62</v>
      </c>
      <c r="E337" s="83">
        <v>59</v>
      </c>
      <c r="F337" s="83">
        <v>54</v>
      </c>
      <c r="G337" s="83">
        <v>63</v>
      </c>
      <c r="H337" s="83">
        <v>62</v>
      </c>
      <c r="I337" s="83">
        <v>60</v>
      </c>
      <c r="J337" s="83">
        <v>56</v>
      </c>
      <c r="K337" s="83">
        <v>58</v>
      </c>
      <c r="L337" s="83">
        <v>55</v>
      </c>
      <c r="M337" s="83">
        <v>83</v>
      </c>
      <c r="N337" s="83">
        <v>96</v>
      </c>
      <c r="O337" s="83">
        <v>101</v>
      </c>
      <c r="P337" s="83">
        <v>125</v>
      </c>
      <c r="Q337" s="83">
        <v>128</v>
      </c>
      <c r="R337" s="83">
        <v>130</v>
      </c>
      <c r="S337" s="83">
        <v>148</v>
      </c>
      <c r="T337" s="83">
        <v>159</v>
      </c>
      <c r="U337" s="83">
        <v>155</v>
      </c>
      <c r="V337" s="83">
        <v>153</v>
      </c>
      <c r="W337" s="83">
        <v>158</v>
      </c>
      <c r="X337" s="83">
        <v>158</v>
      </c>
      <c r="Y337" s="83">
        <v>163</v>
      </c>
      <c r="Z337" s="83">
        <v>152</v>
      </c>
      <c r="AA337" s="83">
        <v>169</v>
      </c>
      <c r="AB337" s="83">
        <v>174</v>
      </c>
      <c r="AC337" s="83">
        <v>162</v>
      </c>
      <c r="AD337" s="83">
        <v>160</v>
      </c>
      <c r="AE337" s="83">
        <v>169</v>
      </c>
      <c r="AF337" s="83">
        <v>171</v>
      </c>
      <c r="AG337" s="83">
        <v>162</v>
      </c>
      <c r="AH337" s="83">
        <v>155</v>
      </c>
      <c r="AI337" s="83">
        <v>149</v>
      </c>
      <c r="AJ337" s="83">
        <v>146</v>
      </c>
      <c r="AK337" s="83">
        <v>137</v>
      </c>
      <c r="AL337" s="83">
        <v>125</v>
      </c>
      <c r="AM337" s="83">
        <v>137</v>
      </c>
      <c r="AN337" s="83">
        <v>134</v>
      </c>
      <c r="AO337" s="83">
        <v>129</v>
      </c>
      <c r="AP337" s="83">
        <v>124</v>
      </c>
      <c r="AQ337" s="83">
        <v>130</v>
      </c>
      <c r="AR337" s="83">
        <v>125</v>
      </c>
      <c r="AS337" s="83">
        <v>118</v>
      </c>
      <c r="AT337" s="83">
        <v>112</v>
      </c>
      <c r="AU337" s="83">
        <v>110</v>
      </c>
      <c r="AV337" s="83">
        <v>108</v>
      </c>
      <c r="AW337" s="83">
        <v>106</v>
      </c>
    </row>
    <row r="338" spans="1:49" x14ac:dyDescent="0.15">
      <c r="A338" s="83">
        <v>20200911</v>
      </c>
      <c r="B338" s="83">
        <v>79</v>
      </c>
      <c r="C338" s="83">
        <v>58</v>
      </c>
      <c r="D338" s="83">
        <v>59</v>
      </c>
      <c r="E338" s="83">
        <v>56</v>
      </c>
      <c r="F338" s="83">
        <v>53</v>
      </c>
      <c r="G338" s="83">
        <v>61</v>
      </c>
      <c r="H338" s="83">
        <v>59</v>
      </c>
      <c r="I338" s="83">
        <v>59</v>
      </c>
      <c r="J338" s="83">
        <v>55</v>
      </c>
      <c r="K338" s="83">
        <v>56</v>
      </c>
      <c r="L338" s="83">
        <v>55</v>
      </c>
      <c r="M338" s="83">
        <v>64</v>
      </c>
      <c r="N338" s="83">
        <v>106</v>
      </c>
      <c r="O338" s="83">
        <v>101</v>
      </c>
      <c r="P338" s="83">
        <v>118</v>
      </c>
      <c r="Q338" s="83">
        <v>128</v>
      </c>
      <c r="R338" s="83">
        <v>130</v>
      </c>
      <c r="S338" s="83">
        <v>156</v>
      </c>
      <c r="T338" s="83">
        <v>164</v>
      </c>
      <c r="U338" s="83">
        <v>169</v>
      </c>
      <c r="V338" s="83">
        <v>166</v>
      </c>
      <c r="W338" s="83">
        <v>169</v>
      </c>
      <c r="X338" s="83">
        <v>170</v>
      </c>
      <c r="Y338" s="83">
        <v>176</v>
      </c>
      <c r="Z338" s="83">
        <v>171</v>
      </c>
      <c r="AA338" s="83">
        <v>178</v>
      </c>
      <c r="AB338" s="83">
        <v>175</v>
      </c>
      <c r="AC338" s="83">
        <v>175</v>
      </c>
      <c r="AD338" s="83">
        <v>163</v>
      </c>
      <c r="AE338" s="83">
        <v>174</v>
      </c>
      <c r="AF338" s="83">
        <v>176</v>
      </c>
      <c r="AG338" s="83">
        <v>171</v>
      </c>
      <c r="AH338" s="83">
        <v>161</v>
      </c>
      <c r="AI338" s="83">
        <v>156</v>
      </c>
      <c r="AJ338" s="83">
        <v>151</v>
      </c>
      <c r="AK338" s="83">
        <v>148</v>
      </c>
      <c r="AL338" s="83">
        <v>141</v>
      </c>
      <c r="AM338" s="83">
        <v>151</v>
      </c>
      <c r="AN338" s="83">
        <v>142</v>
      </c>
      <c r="AO338" s="83">
        <v>135</v>
      </c>
      <c r="AP338" s="83">
        <v>125</v>
      </c>
      <c r="AQ338" s="83">
        <v>130</v>
      </c>
      <c r="AR338" s="83">
        <v>128</v>
      </c>
      <c r="AS338" s="83">
        <v>121</v>
      </c>
      <c r="AT338" s="83">
        <v>116</v>
      </c>
      <c r="AU338" s="83">
        <v>117</v>
      </c>
      <c r="AV338" s="83">
        <v>112</v>
      </c>
      <c r="AW338" s="83">
        <v>115</v>
      </c>
    </row>
    <row r="339" spans="1:49" x14ac:dyDescent="0.15">
      <c r="A339" s="83">
        <v>20200912</v>
      </c>
      <c r="B339" s="83">
        <v>84</v>
      </c>
      <c r="C339" s="83">
        <v>63</v>
      </c>
      <c r="D339" s="83">
        <v>65</v>
      </c>
      <c r="E339" s="83">
        <v>62</v>
      </c>
      <c r="F339" s="83">
        <v>58</v>
      </c>
      <c r="G339" s="83">
        <v>68</v>
      </c>
      <c r="H339" s="83">
        <v>65</v>
      </c>
      <c r="I339" s="83">
        <v>66</v>
      </c>
      <c r="J339" s="83">
        <v>61</v>
      </c>
      <c r="K339" s="83">
        <v>60</v>
      </c>
      <c r="L339" s="83">
        <v>59</v>
      </c>
      <c r="M339" s="83">
        <v>91</v>
      </c>
      <c r="N339" s="83">
        <v>100</v>
      </c>
      <c r="O339" s="83">
        <v>114</v>
      </c>
      <c r="P339" s="83">
        <v>133</v>
      </c>
      <c r="Q339" s="83">
        <v>147</v>
      </c>
      <c r="R339" s="83">
        <v>141</v>
      </c>
      <c r="S339" s="83">
        <v>170</v>
      </c>
      <c r="T339" s="83">
        <v>180</v>
      </c>
      <c r="U339" s="83">
        <v>173</v>
      </c>
      <c r="V339" s="83">
        <v>170</v>
      </c>
      <c r="W339" s="83">
        <v>174</v>
      </c>
      <c r="X339" s="83">
        <v>181</v>
      </c>
      <c r="Y339" s="83">
        <v>181</v>
      </c>
      <c r="Z339" s="83">
        <v>169</v>
      </c>
      <c r="AA339" s="83">
        <v>180</v>
      </c>
      <c r="AB339" s="83">
        <v>177</v>
      </c>
      <c r="AC339" s="83">
        <v>172</v>
      </c>
      <c r="AD339" s="83">
        <v>167</v>
      </c>
      <c r="AE339" s="83">
        <v>182</v>
      </c>
      <c r="AF339" s="83">
        <v>174</v>
      </c>
      <c r="AG339" s="83">
        <v>169</v>
      </c>
      <c r="AH339" s="83">
        <v>161</v>
      </c>
      <c r="AI339" s="83">
        <v>160</v>
      </c>
      <c r="AJ339" s="83">
        <v>157</v>
      </c>
      <c r="AK339" s="83">
        <v>154</v>
      </c>
      <c r="AL339" s="83">
        <v>136</v>
      </c>
      <c r="AM339" s="83">
        <v>145</v>
      </c>
      <c r="AN339" s="83">
        <v>147</v>
      </c>
      <c r="AO339" s="83">
        <v>142</v>
      </c>
      <c r="AP339" s="83">
        <v>130</v>
      </c>
      <c r="AQ339" s="83">
        <v>137</v>
      </c>
      <c r="AR339" s="83">
        <v>133</v>
      </c>
      <c r="AS339" s="83">
        <v>124</v>
      </c>
      <c r="AT339" s="83">
        <v>121</v>
      </c>
      <c r="AU339" s="83">
        <v>120</v>
      </c>
      <c r="AV339" s="83">
        <v>117</v>
      </c>
      <c r="AW339" s="83">
        <v>112</v>
      </c>
    </row>
    <row r="340" spans="1:49" x14ac:dyDescent="0.15">
      <c r="A340" s="83">
        <v>20200913</v>
      </c>
      <c r="B340" s="83">
        <v>80</v>
      </c>
      <c r="C340" s="83">
        <v>62</v>
      </c>
      <c r="D340" s="83">
        <v>63</v>
      </c>
      <c r="E340" s="83">
        <v>61</v>
      </c>
      <c r="F340" s="83">
        <v>56</v>
      </c>
      <c r="G340" s="83">
        <v>64</v>
      </c>
      <c r="H340" s="83">
        <v>62</v>
      </c>
      <c r="I340" s="83">
        <v>62</v>
      </c>
      <c r="J340" s="83">
        <v>57</v>
      </c>
      <c r="K340" s="83">
        <v>58</v>
      </c>
      <c r="L340" s="83">
        <v>59</v>
      </c>
      <c r="M340" s="83">
        <v>67</v>
      </c>
      <c r="N340" s="83">
        <v>110</v>
      </c>
      <c r="O340" s="83">
        <v>100</v>
      </c>
      <c r="P340" s="83">
        <v>124</v>
      </c>
      <c r="Q340" s="83">
        <v>138</v>
      </c>
      <c r="R340" s="83">
        <v>136</v>
      </c>
      <c r="S340" s="83">
        <v>159</v>
      </c>
      <c r="T340" s="83">
        <v>169</v>
      </c>
      <c r="U340" s="83">
        <v>165</v>
      </c>
      <c r="V340" s="83">
        <v>173</v>
      </c>
      <c r="W340" s="83">
        <v>170</v>
      </c>
      <c r="X340" s="83">
        <v>163</v>
      </c>
      <c r="Y340" s="83">
        <v>167</v>
      </c>
      <c r="Z340" s="83">
        <v>154</v>
      </c>
      <c r="AA340" s="83">
        <v>162</v>
      </c>
      <c r="AB340" s="83">
        <v>157</v>
      </c>
      <c r="AC340" s="83">
        <v>153</v>
      </c>
      <c r="AD340" s="83">
        <v>147</v>
      </c>
      <c r="AE340" s="83">
        <v>163</v>
      </c>
      <c r="AF340" s="83">
        <v>158</v>
      </c>
      <c r="AG340" s="83">
        <v>155</v>
      </c>
      <c r="AH340" s="83">
        <v>151</v>
      </c>
      <c r="AI340" s="83">
        <v>146</v>
      </c>
      <c r="AJ340" s="83">
        <v>142</v>
      </c>
      <c r="AK340" s="83">
        <v>142</v>
      </c>
      <c r="AL340" s="83">
        <v>133</v>
      </c>
      <c r="AM340" s="83">
        <v>143</v>
      </c>
      <c r="AN340" s="83">
        <v>135</v>
      </c>
      <c r="AO340" s="83">
        <v>134</v>
      </c>
      <c r="AP340" s="83">
        <v>125</v>
      </c>
      <c r="AQ340" s="83">
        <v>130</v>
      </c>
      <c r="AR340" s="83">
        <v>128</v>
      </c>
      <c r="AS340" s="83">
        <v>119</v>
      </c>
      <c r="AT340" s="83">
        <v>114</v>
      </c>
      <c r="AU340" s="83">
        <v>110</v>
      </c>
      <c r="AV340" s="83">
        <v>109</v>
      </c>
      <c r="AW340" s="83">
        <v>105</v>
      </c>
    </row>
    <row r="341" spans="1:49" x14ac:dyDescent="0.15">
      <c r="A341" s="83">
        <v>20200914</v>
      </c>
      <c r="B341" s="83">
        <v>77</v>
      </c>
      <c r="C341" s="83">
        <v>58</v>
      </c>
      <c r="D341" s="83">
        <v>58</v>
      </c>
      <c r="E341" s="83">
        <v>55</v>
      </c>
      <c r="F341" s="83">
        <v>53</v>
      </c>
      <c r="G341" s="83">
        <v>60</v>
      </c>
      <c r="H341" s="83">
        <v>59</v>
      </c>
      <c r="I341" s="83">
        <v>57</v>
      </c>
      <c r="J341" s="83">
        <v>54</v>
      </c>
      <c r="K341" s="83">
        <v>54</v>
      </c>
      <c r="L341" s="83">
        <v>63</v>
      </c>
      <c r="M341" s="83">
        <v>65</v>
      </c>
      <c r="N341" s="83">
        <v>105</v>
      </c>
      <c r="O341" s="83">
        <v>98</v>
      </c>
      <c r="P341" s="83">
        <v>113</v>
      </c>
      <c r="Q341" s="83">
        <v>125</v>
      </c>
      <c r="R341" s="83">
        <v>124</v>
      </c>
      <c r="S341" s="83">
        <v>142</v>
      </c>
      <c r="T341" s="83">
        <v>147</v>
      </c>
      <c r="U341" s="83">
        <v>142</v>
      </c>
      <c r="V341" s="83">
        <v>136</v>
      </c>
      <c r="W341" s="83">
        <v>139</v>
      </c>
      <c r="X341" s="83">
        <v>141</v>
      </c>
      <c r="Y341" s="83">
        <v>149</v>
      </c>
      <c r="Z341" s="83">
        <v>144</v>
      </c>
      <c r="AA341" s="83">
        <v>145</v>
      </c>
      <c r="AB341" s="83">
        <v>143</v>
      </c>
      <c r="AC341" s="83">
        <v>145</v>
      </c>
      <c r="AD341" s="83">
        <v>139</v>
      </c>
      <c r="AE341" s="83">
        <v>150</v>
      </c>
      <c r="AF341" s="83">
        <v>146</v>
      </c>
      <c r="AG341" s="83">
        <v>143</v>
      </c>
      <c r="AH341" s="83">
        <v>139</v>
      </c>
      <c r="AI341" s="83">
        <v>134</v>
      </c>
      <c r="AJ341" s="83">
        <v>132</v>
      </c>
      <c r="AK341" s="83">
        <v>131</v>
      </c>
      <c r="AL341" s="83">
        <v>121</v>
      </c>
      <c r="AM341" s="83">
        <v>133</v>
      </c>
      <c r="AN341" s="83">
        <v>122</v>
      </c>
      <c r="AO341" s="83">
        <v>125</v>
      </c>
      <c r="AP341" s="83">
        <v>112</v>
      </c>
      <c r="AQ341" s="83">
        <v>121</v>
      </c>
      <c r="AR341" s="83">
        <v>118</v>
      </c>
      <c r="AS341" s="83">
        <v>111</v>
      </c>
      <c r="AT341" s="83">
        <v>107</v>
      </c>
      <c r="AU341" s="83">
        <v>110</v>
      </c>
      <c r="AV341" s="83">
        <v>102</v>
      </c>
      <c r="AW341" s="83">
        <v>100</v>
      </c>
    </row>
    <row r="342" spans="1:49" x14ac:dyDescent="0.15">
      <c r="A342" s="83">
        <v>20200915</v>
      </c>
      <c r="B342" s="83">
        <v>81</v>
      </c>
      <c r="C342" s="83">
        <v>69</v>
      </c>
      <c r="D342" s="83">
        <v>72</v>
      </c>
      <c r="E342" s="83">
        <v>68</v>
      </c>
      <c r="F342" s="83">
        <v>64</v>
      </c>
      <c r="G342" s="83">
        <v>75</v>
      </c>
      <c r="H342" s="83">
        <v>71</v>
      </c>
      <c r="I342" s="83">
        <v>72</v>
      </c>
      <c r="J342" s="83">
        <v>68</v>
      </c>
      <c r="K342" s="83">
        <v>67</v>
      </c>
      <c r="L342" s="83">
        <v>66</v>
      </c>
      <c r="M342" s="83">
        <v>68</v>
      </c>
      <c r="N342" s="83">
        <v>105</v>
      </c>
      <c r="O342" s="83">
        <v>97</v>
      </c>
      <c r="P342" s="83">
        <v>111</v>
      </c>
      <c r="Q342" s="83">
        <v>122</v>
      </c>
      <c r="R342" s="83">
        <v>125</v>
      </c>
      <c r="S342" s="83">
        <v>142</v>
      </c>
      <c r="T342" s="83">
        <v>148</v>
      </c>
      <c r="U342" s="83">
        <v>144</v>
      </c>
      <c r="V342" s="83">
        <v>141</v>
      </c>
      <c r="W342" s="83">
        <v>139</v>
      </c>
      <c r="X342" s="83">
        <v>143</v>
      </c>
      <c r="Y342" s="83">
        <v>149</v>
      </c>
      <c r="Z342" s="83">
        <v>142</v>
      </c>
      <c r="AA342" s="83">
        <v>142</v>
      </c>
      <c r="AB342" s="83">
        <v>144</v>
      </c>
      <c r="AC342" s="83">
        <v>141</v>
      </c>
      <c r="AD342" s="83">
        <v>135</v>
      </c>
      <c r="AE342" s="83">
        <v>146</v>
      </c>
      <c r="AF342" s="83">
        <v>146</v>
      </c>
      <c r="AG342" s="83">
        <v>135</v>
      </c>
      <c r="AH342" s="83">
        <v>130</v>
      </c>
      <c r="AI342" s="83">
        <v>129</v>
      </c>
      <c r="AJ342" s="83">
        <v>127</v>
      </c>
      <c r="AK342" s="83">
        <v>135</v>
      </c>
      <c r="AL342" s="83">
        <v>120</v>
      </c>
      <c r="AM342" s="83">
        <v>128</v>
      </c>
      <c r="AN342" s="83">
        <v>117</v>
      </c>
      <c r="AO342" s="83">
        <v>115</v>
      </c>
      <c r="AP342" s="83">
        <v>106</v>
      </c>
      <c r="AQ342" s="83">
        <v>118</v>
      </c>
      <c r="AR342" s="83">
        <v>116</v>
      </c>
      <c r="AS342" s="83">
        <v>112</v>
      </c>
      <c r="AT342" s="83">
        <v>108</v>
      </c>
      <c r="AU342" s="83">
        <v>104</v>
      </c>
      <c r="AV342" s="83">
        <v>101</v>
      </c>
      <c r="AW342" s="83">
        <v>100</v>
      </c>
    </row>
    <row r="343" spans="1:49" x14ac:dyDescent="0.15">
      <c r="A343" s="83">
        <v>20200916</v>
      </c>
      <c r="B343" s="83">
        <v>82</v>
      </c>
      <c r="C343" s="83">
        <v>74</v>
      </c>
      <c r="D343" s="83">
        <v>75</v>
      </c>
      <c r="E343" s="83">
        <v>72</v>
      </c>
      <c r="F343" s="83">
        <v>71</v>
      </c>
      <c r="G343" s="83">
        <v>81</v>
      </c>
      <c r="H343" s="83">
        <v>75</v>
      </c>
      <c r="I343" s="83">
        <v>77</v>
      </c>
      <c r="J343" s="83">
        <v>71</v>
      </c>
      <c r="K343" s="83">
        <v>71</v>
      </c>
      <c r="L343" s="83">
        <v>68</v>
      </c>
      <c r="M343" s="83">
        <v>71</v>
      </c>
      <c r="N343" s="83">
        <v>106</v>
      </c>
      <c r="O343" s="83">
        <v>94</v>
      </c>
      <c r="P343" s="83">
        <v>111</v>
      </c>
      <c r="Q343" s="83">
        <v>126</v>
      </c>
      <c r="R343" s="83">
        <v>127</v>
      </c>
      <c r="S343" s="83">
        <v>151</v>
      </c>
      <c r="T343" s="83">
        <v>151</v>
      </c>
      <c r="U343" s="83">
        <v>148</v>
      </c>
      <c r="V343" s="83">
        <v>145</v>
      </c>
      <c r="W343" s="83">
        <v>149</v>
      </c>
      <c r="X343" s="83">
        <v>152</v>
      </c>
      <c r="Y343" s="83">
        <v>156</v>
      </c>
      <c r="Z343" s="83">
        <v>153</v>
      </c>
      <c r="AA343" s="83">
        <v>155</v>
      </c>
      <c r="AB343" s="83">
        <v>155</v>
      </c>
      <c r="AC343" s="83">
        <v>152</v>
      </c>
      <c r="AD343" s="83">
        <v>144</v>
      </c>
      <c r="AE343" s="83">
        <v>155</v>
      </c>
      <c r="AF343" s="83">
        <v>149</v>
      </c>
      <c r="AG343" s="83">
        <v>144</v>
      </c>
      <c r="AH343" s="83">
        <v>143</v>
      </c>
      <c r="AI343" s="83">
        <v>138</v>
      </c>
      <c r="AJ343" s="83">
        <v>139</v>
      </c>
      <c r="AK343" s="83">
        <v>138</v>
      </c>
      <c r="AL343" s="83">
        <v>121</v>
      </c>
      <c r="AM343" s="83">
        <v>134</v>
      </c>
      <c r="AN343" s="83">
        <v>130</v>
      </c>
      <c r="AO343" s="83">
        <v>132</v>
      </c>
      <c r="AP343" s="83">
        <v>120</v>
      </c>
      <c r="AQ343" s="83">
        <v>130</v>
      </c>
      <c r="AR343" s="83">
        <v>125</v>
      </c>
      <c r="AS343" s="83">
        <v>118</v>
      </c>
      <c r="AT343" s="83">
        <v>114</v>
      </c>
      <c r="AU343" s="83">
        <v>112</v>
      </c>
      <c r="AV343" s="83">
        <v>108</v>
      </c>
      <c r="AW343" s="83">
        <v>106</v>
      </c>
    </row>
    <row r="344" spans="1:49" x14ac:dyDescent="0.15">
      <c r="A344" s="83">
        <v>20200917</v>
      </c>
      <c r="B344" s="83">
        <v>83</v>
      </c>
      <c r="C344" s="83">
        <v>74</v>
      </c>
      <c r="D344" s="83">
        <v>75</v>
      </c>
      <c r="E344" s="83">
        <v>74</v>
      </c>
      <c r="F344" s="83">
        <v>68</v>
      </c>
      <c r="G344" s="83">
        <v>80</v>
      </c>
      <c r="H344" s="83">
        <v>76</v>
      </c>
      <c r="I344" s="83">
        <v>77</v>
      </c>
      <c r="J344" s="83">
        <v>71</v>
      </c>
      <c r="K344" s="83">
        <v>71</v>
      </c>
      <c r="L344" s="83">
        <v>72</v>
      </c>
      <c r="M344" s="83">
        <v>75</v>
      </c>
      <c r="N344" s="83">
        <v>107</v>
      </c>
      <c r="O344" s="83">
        <v>107</v>
      </c>
      <c r="P344" s="83">
        <v>121</v>
      </c>
      <c r="Q344" s="83">
        <v>127</v>
      </c>
      <c r="R344" s="83">
        <v>130</v>
      </c>
      <c r="S344" s="83">
        <v>151</v>
      </c>
      <c r="T344" s="83">
        <v>156</v>
      </c>
      <c r="U344" s="83">
        <v>153</v>
      </c>
      <c r="V344" s="83">
        <v>158</v>
      </c>
      <c r="W344" s="83">
        <v>155</v>
      </c>
      <c r="X344" s="83">
        <v>159</v>
      </c>
      <c r="Y344" s="83">
        <v>161</v>
      </c>
      <c r="Z344" s="83">
        <v>164</v>
      </c>
      <c r="AA344" s="83">
        <v>164</v>
      </c>
      <c r="AB344" s="83">
        <v>162</v>
      </c>
      <c r="AC344" s="83">
        <v>165</v>
      </c>
      <c r="AD344" s="83">
        <v>147</v>
      </c>
      <c r="AE344" s="83">
        <v>165</v>
      </c>
      <c r="AF344" s="83">
        <v>165</v>
      </c>
      <c r="AG344" s="83">
        <v>159</v>
      </c>
      <c r="AH344" s="83">
        <v>154</v>
      </c>
      <c r="AI344" s="83">
        <v>150</v>
      </c>
      <c r="AJ344" s="83">
        <v>147</v>
      </c>
      <c r="AK344" s="83">
        <v>145</v>
      </c>
      <c r="AL344" s="83">
        <v>130</v>
      </c>
      <c r="AM344" s="83">
        <v>142</v>
      </c>
      <c r="AN344" s="83">
        <v>138</v>
      </c>
      <c r="AO344" s="83">
        <v>134</v>
      </c>
      <c r="AP344" s="83">
        <v>127</v>
      </c>
      <c r="AQ344" s="83">
        <v>140</v>
      </c>
      <c r="AR344" s="83">
        <v>129</v>
      </c>
      <c r="AS344" s="83">
        <v>123</v>
      </c>
      <c r="AT344" s="83">
        <v>117</v>
      </c>
      <c r="AU344" s="83">
        <v>114</v>
      </c>
      <c r="AV344" s="83">
        <v>112</v>
      </c>
      <c r="AW344" s="83">
        <v>112</v>
      </c>
    </row>
    <row r="345" spans="1:49" x14ac:dyDescent="0.15">
      <c r="A345" s="83">
        <v>20200918</v>
      </c>
      <c r="B345" s="83">
        <v>86</v>
      </c>
      <c r="C345" s="83">
        <v>76</v>
      </c>
      <c r="D345" s="83">
        <v>77</v>
      </c>
      <c r="E345" s="83">
        <v>76</v>
      </c>
      <c r="F345" s="83">
        <v>71</v>
      </c>
      <c r="G345" s="83">
        <v>82</v>
      </c>
      <c r="H345" s="83">
        <v>79</v>
      </c>
      <c r="I345" s="83">
        <v>77</v>
      </c>
      <c r="J345" s="83">
        <v>74</v>
      </c>
      <c r="K345" s="83">
        <v>60</v>
      </c>
      <c r="L345" s="83">
        <v>62</v>
      </c>
      <c r="M345" s="83">
        <v>91</v>
      </c>
      <c r="N345" s="83">
        <v>100</v>
      </c>
      <c r="O345" s="83">
        <v>102</v>
      </c>
      <c r="P345" s="83">
        <v>114</v>
      </c>
      <c r="Q345" s="83">
        <v>132</v>
      </c>
      <c r="R345" s="83">
        <v>127</v>
      </c>
      <c r="S345" s="83">
        <v>146</v>
      </c>
      <c r="T345" s="83">
        <v>151</v>
      </c>
      <c r="U345" s="83">
        <v>143</v>
      </c>
      <c r="V345" s="83">
        <v>147</v>
      </c>
      <c r="W345" s="83">
        <v>140</v>
      </c>
      <c r="X345" s="83">
        <v>139</v>
      </c>
      <c r="Y345" s="83">
        <v>141</v>
      </c>
      <c r="Z345" s="83">
        <v>133</v>
      </c>
      <c r="AA345" s="83">
        <v>143</v>
      </c>
      <c r="AB345" s="83">
        <v>140</v>
      </c>
      <c r="AC345" s="83">
        <v>136</v>
      </c>
      <c r="AD345" s="83">
        <v>126</v>
      </c>
      <c r="AE345" s="83">
        <v>142</v>
      </c>
      <c r="AF345" s="83">
        <v>136</v>
      </c>
      <c r="AG345" s="83">
        <v>129</v>
      </c>
      <c r="AH345" s="83">
        <v>127</v>
      </c>
      <c r="AI345" s="83">
        <v>129</v>
      </c>
      <c r="AJ345" s="83">
        <v>126</v>
      </c>
      <c r="AK345" s="83">
        <v>122</v>
      </c>
      <c r="AL345" s="83">
        <v>113</v>
      </c>
      <c r="AM345" s="83">
        <v>121</v>
      </c>
      <c r="AN345" s="83">
        <v>120</v>
      </c>
      <c r="AO345" s="83">
        <v>113</v>
      </c>
      <c r="AP345" s="83">
        <v>105</v>
      </c>
      <c r="AQ345" s="83">
        <v>115</v>
      </c>
      <c r="AR345" s="83">
        <v>115</v>
      </c>
      <c r="AS345" s="83">
        <v>109</v>
      </c>
      <c r="AT345" s="83">
        <v>106</v>
      </c>
      <c r="AU345" s="83">
        <v>101</v>
      </c>
      <c r="AV345" s="83">
        <v>101</v>
      </c>
      <c r="AW345" s="83">
        <v>98</v>
      </c>
    </row>
    <row r="346" spans="1:49" x14ac:dyDescent="0.15">
      <c r="A346" s="83">
        <v>20200919</v>
      </c>
      <c r="B346" s="83">
        <v>76</v>
      </c>
      <c r="C346" s="83">
        <v>53</v>
      </c>
      <c r="D346" s="83">
        <v>54</v>
      </c>
      <c r="E346" s="83">
        <v>52</v>
      </c>
      <c r="F346" s="83">
        <v>48</v>
      </c>
      <c r="G346" s="83">
        <v>56</v>
      </c>
      <c r="H346" s="83">
        <v>56</v>
      </c>
      <c r="I346" s="83">
        <v>54</v>
      </c>
      <c r="J346" s="83">
        <v>50</v>
      </c>
      <c r="K346" s="83">
        <v>51</v>
      </c>
      <c r="L346" s="83">
        <v>78</v>
      </c>
      <c r="M346" s="83">
        <v>79</v>
      </c>
      <c r="N346" s="83">
        <v>83</v>
      </c>
      <c r="O346" s="83">
        <v>93</v>
      </c>
      <c r="P346" s="83">
        <v>109</v>
      </c>
      <c r="Q346" s="83">
        <v>122</v>
      </c>
      <c r="R346" s="83">
        <v>121</v>
      </c>
      <c r="S346" s="83">
        <v>135</v>
      </c>
      <c r="T346" s="83">
        <v>137</v>
      </c>
      <c r="U346" s="83">
        <v>147</v>
      </c>
      <c r="V346" s="83">
        <v>136</v>
      </c>
      <c r="W346" s="83">
        <v>132</v>
      </c>
      <c r="X346" s="83">
        <v>138</v>
      </c>
      <c r="Y346" s="83">
        <v>139</v>
      </c>
      <c r="Z346" s="83">
        <v>132</v>
      </c>
      <c r="AA346" s="83">
        <v>148</v>
      </c>
      <c r="AB346" s="83">
        <v>147</v>
      </c>
      <c r="AC346" s="83">
        <v>145</v>
      </c>
      <c r="AD346" s="83">
        <v>140</v>
      </c>
      <c r="AE346" s="83">
        <v>147</v>
      </c>
      <c r="AF346" s="83">
        <v>146</v>
      </c>
      <c r="AG346" s="83">
        <v>142</v>
      </c>
      <c r="AH346" s="83">
        <v>137</v>
      </c>
      <c r="AI346" s="83">
        <v>127</v>
      </c>
      <c r="AJ346" s="83">
        <v>127</v>
      </c>
      <c r="AK346" s="83">
        <v>125</v>
      </c>
      <c r="AL346" s="83">
        <v>113</v>
      </c>
      <c r="AM346" s="83">
        <v>120</v>
      </c>
      <c r="AN346" s="83">
        <v>113</v>
      </c>
      <c r="AO346" s="83">
        <v>116</v>
      </c>
      <c r="AP346" s="83">
        <v>110</v>
      </c>
      <c r="AQ346" s="83">
        <v>124</v>
      </c>
      <c r="AR346" s="83">
        <v>123</v>
      </c>
      <c r="AS346" s="83">
        <v>114</v>
      </c>
      <c r="AT346" s="83">
        <v>105</v>
      </c>
      <c r="AU346" s="83">
        <v>101</v>
      </c>
      <c r="AV346" s="83">
        <v>99</v>
      </c>
      <c r="AW346" s="83">
        <v>95</v>
      </c>
    </row>
    <row r="347" spans="1:49" x14ac:dyDescent="0.15">
      <c r="A347" s="83">
        <v>20200920</v>
      </c>
      <c r="B347" s="83">
        <v>70</v>
      </c>
      <c r="C347" s="83">
        <v>53</v>
      </c>
      <c r="D347" s="83">
        <v>54</v>
      </c>
      <c r="E347" s="83">
        <v>51</v>
      </c>
      <c r="F347" s="83">
        <v>49</v>
      </c>
      <c r="G347" s="83">
        <v>56</v>
      </c>
      <c r="H347" s="83">
        <v>55</v>
      </c>
      <c r="I347" s="83">
        <v>54</v>
      </c>
      <c r="J347" s="83">
        <v>51</v>
      </c>
      <c r="K347" s="83">
        <v>50</v>
      </c>
      <c r="L347" s="83">
        <v>54</v>
      </c>
      <c r="M347" s="83">
        <v>61</v>
      </c>
      <c r="N347" s="83">
        <v>101</v>
      </c>
      <c r="O347" s="83">
        <v>94</v>
      </c>
      <c r="P347" s="83">
        <v>105</v>
      </c>
      <c r="Q347" s="83">
        <v>111</v>
      </c>
      <c r="R347" s="83">
        <v>112</v>
      </c>
      <c r="S347" s="83">
        <v>134</v>
      </c>
      <c r="T347" s="83">
        <v>144</v>
      </c>
      <c r="U347" s="83">
        <v>136</v>
      </c>
      <c r="V347" s="83">
        <v>130</v>
      </c>
      <c r="W347" s="83">
        <v>134</v>
      </c>
      <c r="X347" s="83">
        <v>135</v>
      </c>
      <c r="Y347" s="83">
        <v>135</v>
      </c>
      <c r="Z347" s="83">
        <v>126</v>
      </c>
      <c r="AA347" s="83">
        <v>143</v>
      </c>
      <c r="AB347" s="83">
        <v>138</v>
      </c>
      <c r="AC347" s="83">
        <v>138</v>
      </c>
      <c r="AD347" s="83">
        <v>130</v>
      </c>
      <c r="AE347" s="83">
        <v>145</v>
      </c>
      <c r="AF347" s="83">
        <v>148</v>
      </c>
      <c r="AG347" s="83">
        <v>141</v>
      </c>
      <c r="AH347" s="83">
        <v>134</v>
      </c>
      <c r="AI347" s="83">
        <v>132</v>
      </c>
      <c r="AJ347" s="83">
        <v>132</v>
      </c>
      <c r="AK347" s="83">
        <v>125</v>
      </c>
      <c r="AL347" s="83">
        <v>115</v>
      </c>
      <c r="AM347" s="83">
        <v>126</v>
      </c>
      <c r="AN347" s="83">
        <v>119</v>
      </c>
      <c r="AO347" s="83">
        <v>117</v>
      </c>
      <c r="AP347" s="83">
        <v>112</v>
      </c>
      <c r="AQ347" s="83">
        <v>121</v>
      </c>
      <c r="AR347" s="83">
        <v>115</v>
      </c>
      <c r="AS347" s="83">
        <v>109</v>
      </c>
      <c r="AT347" s="83">
        <v>103</v>
      </c>
      <c r="AU347" s="83">
        <v>102</v>
      </c>
      <c r="AV347" s="83">
        <v>98</v>
      </c>
      <c r="AW347" s="83">
        <v>95</v>
      </c>
    </row>
    <row r="348" spans="1:49" x14ac:dyDescent="0.15">
      <c r="A348" s="83">
        <v>20200921</v>
      </c>
      <c r="B348" s="83">
        <v>71</v>
      </c>
      <c r="C348" s="83">
        <v>52</v>
      </c>
      <c r="D348" s="83">
        <v>52</v>
      </c>
      <c r="E348" s="83">
        <v>50</v>
      </c>
      <c r="F348" s="83">
        <v>47</v>
      </c>
      <c r="G348" s="83">
        <v>54</v>
      </c>
      <c r="H348" s="83">
        <v>55</v>
      </c>
      <c r="I348" s="83">
        <v>53</v>
      </c>
      <c r="J348" s="83">
        <v>49</v>
      </c>
      <c r="K348" s="83">
        <v>48</v>
      </c>
      <c r="L348" s="83">
        <v>60</v>
      </c>
      <c r="M348" s="83">
        <v>80</v>
      </c>
      <c r="N348" s="83">
        <v>80</v>
      </c>
      <c r="O348" s="83">
        <v>89</v>
      </c>
      <c r="P348" s="83">
        <v>105</v>
      </c>
      <c r="Q348" s="83">
        <v>111</v>
      </c>
      <c r="R348" s="83">
        <v>114</v>
      </c>
      <c r="S348" s="83">
        <v>140</v>
      </c>
      <c r="T348" s="83">
        <v>149</v>
      </c>
      <c r="U348" s="83">
        <v>142</v>
      </c>
      <c r="V348" s="83">
        <v>143</v>
      </c>
      <c r="W348" s="83">
        <v>135</v>
      </c>
      <c r="X348" s="83">
        <v>140</v>
      </c>
      <c r="Y348" s="83">
        <v>142</v>
      </c>
      <c r="Z348" s="83">
        <v>136</v>
      </c>
      <c r="AA348" s="83">
        <v>146</v>
      </c>
      <c r="AB348" s="83">
        <v>144</v>
      </c>
      <c r="AC348" s="83">
        <v>138</v>
      </c>
      <c r="AD348" s="83">
        <v>135</v>
      </c>
      <c r="AE348" s="83">
        <v>150</v>
      </c>
      <c r="AF348" s="83">
        <v>146</v>
      </c>
      <c r="AG348" s="83">
        <v>141</v>
      </c>
      <c r="AH348" s="83">
        <v>136</v>
      </c>
      <c r="AI348" s="83">
        <v>130</v>
      </c>
      <c r="AJ348" s="83">
        <v>126</v>
      </c>
      <c r="AK348" s="83">
        <v>129</v>
      </c>
      <c r="AL348" s="83">
        <v>110</v>
      </c>
      <c r="AM348" s="83">
        <v>119</v>
      </c>
      <c r="AN348" s="83">
        <v>120</v>
      </c>
      <c r="AO348" s="83">
        <v>119</v>
      </c>
      <c r="AP348" s="83">
        <v>108</v>
      </c>
      <c r="AQ348" s="83">
        <v>117</v>
      </c>
      <c r="AR348" s="83">
        <v>113</v>
      </c>
      <c r="AS348" s="83">
        <v>108</v>
      </c>
      <c r="AT348" s="83">
        <v>104</v>
      </c>
      <c r="AU348" s="83">
        <v>100</v>
      </c>
      <c r="AV348" s="83">
        <v>96</v>
      </c>
      <c r="AW348" s="83">
        <v>94</v>
      </c>
    </row>
    <row r="349" spans="1:49" x14ac:dyDescent="0.15">
      <c r="A349" s="83">
        <v>20200922</v>
      </c>
      <c r="B349" s="83">
        <v>67</v>
      </c>
      <c r="C349" s="83">
        <v>52</v>
      </c>
      <c r="D349" s="83">
        <v>53</v>
      </c>
      <c r="E349" s="83">
        <v>49</v>
      </c>
      <c r="F349" s="83">
        <v>46</v>
      </c>
      <c r="G349" s="83">
        <v>53</v>
      </c>
      <c r="H349" s="83">
        <v>53</v>
      </c>
      <c r="I349" s="83">
        <v>51</v>
      </c>
      <c r="J349" s="83">
        <v>49</v>
      </c>
      <c r="K349" s="83">
        <v>47</v>
      </c>
      <c r="L349" s="83">
        <v>64</v>
      </c>
      <c r="M349" s="83">
        <v>81</v>
      </c>
      <c r="N349" s="83">
        <v>78</v>
      </c>
      <c r="O349" s="83">
        <v>93</v>
      </c>
      <c r="P349" s="83">
        <v>104</v>
      </c>
      <c r="Q349" s="83">
        <v>112</v>
      </c>
      <c r="R349" s="83">
        <v>111</v>
      </c>
      <c r="S349" s="83">
        <v>135</v>
      </c>
      <c r="T349" s="83">
        <v>136</v>
      </c>
      <c r="U349" s="83">
        <v>129</v>
      </c>
      <c r="V349" s="83">
        <v>126</v>
      </c>
      <c r="W349" s="83">
        <v>136</v>
      </c>
      <c r="X349" s="83">
        <v>135</v>
      </c>
      <c r="Y349" s="83">
        <v>143</v>
      </c>
      <c r="Z349" s="83">
        <v>128</v>
      </c>
      <c r="AA349" s="83">
        <v>145</v>
      </c>
      <c r="AB349" s="83">
        <v>144</v>
      </c>
      <c r="AC349" s="83">
        <v>140</v>
      </c>
      <c r="AD349" s="83">
        <v>128</v>
      </c>
      <c r="AE349" s="83">
        <v>146</v>
      </c>
      <c r="AF349" s="83">
        <v>137</v>
      </c>
      <c r="AG349" s="83">
        <v>134</v>
      </c>
      <c r="AH349" s="83">
        <v>132</v>
      </c>
      <c r="AI349" s="83">
        <v>134</v>
      </c>
      <c r="AJ349" s="83">
        <v>133</v>
      </c>
      <c r="AK349" s="83">
        <v>126</v>
      </c>
      <c r="AL349" s="83">
        <v>113</v>
      </c>
      <c r="AM349" s="83">
        <v>118</v>
      </c>
      <c r="AN349" s="83">
        <v>118</v>
      </c>
      <c r="AO349" s="83">
        <v>120</v>
      </c>
      <c r="AP349" s="83">
        <v>115</v>
      </c>
      <c r="AQ349" s="83">
        <v>122</v>
      </c>
      <c r="AR349" s="83">
        <v>119</v>
      </c>
      <c r="AS349" s="83">
        <v>109</v>
      </c>
      <c r="AT349" s="83">
        <v>105</v>
      </c>
      <c r="AU349" s="83">
        <v>103</v>
      </c>
      <c r="AV349" s="83">
        <v>99</v>
      </c>
      <c r="AW349" s="83">
        <v>100</v>
      </c>
    </row>
    <row r="350" spans="1:49" x14ac:dyDescent="0.15">
      <c r="A350" s="83">
        <v>20200923</v>
      </c>
      <c r="B350" s="83">
        <v>71</v>
      </c>
      <c r="C350" s="83">
        <v>56</v>
      </c>
      <c r="D350" s="83">
        <v>56</v>
      </c>
      <c r="E350" s="83">
        <v>53</v>
      </c>
      <c r="F350" s="83">
        <v>49</v>
      </c>
      <c r="G350" s="83">
        <v>58</v>
      </c>
      <c r="H350" s="83">
        <v>57</v>
      </c>
      <c r="I350" s="83">
        <v>56</v>
      </c>
      <c r="J350" s="83">
        <v>52</v>
      </c>
      <c r="K350" s="83">
        <v>51</v>
      </c>
      <c r="L350" s="83">
        <v>52</v>
      </c>
      <c r="M350" s="83">
        <v>65</v>
      </c>
      <c r="N350" s="83">
        <v>100</v>
      </c>
      <c r="O350" s="83">
        <v>89</v>
      </c>
      <c r="P350" s="83">
        <v>115</v>
      </c>
      <c r="Q350" s="83">
        <v>125</v>
      </c>
      <c r="R350" s="83">
        <v>128</v>
      </c>
      <c r="S350" s="83">
        <v>144</v>
      </c>
      <c r="T350" s="83">
        <v>149</v>
      </c>
      <c r="U350" s="83">
        <v>151</v>
      </c>
      <c r="V350" s="83">
        <v>144</v>
      </c>
      <c r="W350" s="83">
        <v>149</v>
      </c>
      <c r="X350" s="83">
        <v>146</v>
      </c>
      <c r="Y350" s="83">
        <v>152</v>
      </c>
      <c r="Z350" s="83">
        <v>136</v>
      </c>
      <c r="AA350" s="83">
        <v>148</v>
      </c>
      <c r="AB350" s="83">
        <v>149</v>
      </c>
      <c r="AC350" s="83">
        <v>144</v>
      </c>
      <c r="AD350" s="83">
        <v>137</v>
      </c>
      <c r="AE350" s="83">
        <v>155</v>
      </c>
      <c r="AF350" s="83">
        <v>147</v>
      </c>
      <c r="AG350" s="83">
        <v>139</v>
      </c>
      <c r="AH350" s="83">
        <v>137</v>
      </c>
      <c r="AI350" s="83">
        <v>133</v>
      </c>
      <c r="AJ350" s="83">
        <v>129</v>
      </c>
      <c r="AK350" s="83">
        <v>129</v>
      </c>
      <c r="AL350" s="83">
        <v>115</v>
      </c>
      <c r="AM350" s="83">
        <v>128</v>
      </c>
      <c r="AN350" s="83">
        <v>117</v>
      </c>
      <c r="AO350" s="83">
        <v>116</v>
      </c>
      <c r="AP350" s="83">
        <v>109</v>
      </c>
      <c r="AQ350" s="83">
        <v>119</v>
      </c>
      <c r="AR350" s="83">
        <v>120</v>
      </c>
      <c r="AS350" s="83">
        <v>111</v>
      </c>
      <c r="AT350" s="83">
        <v>107</v>
      </c>
      <c r="AU350" s="83">
        <v>103</v>
      </c>
      <c r="AV350" s="83">
        <v>102</v>
      </c>
      <c r="AW350" s="83">
        <v>101</v>
      </c>
    </row>
    <row r="351" spans="1:49" x14ac:dyDescent="0.15">
      <c r="A351" s="83">
        <v>20200924</v>
      </c>
      <c r="B351" s="83">
        <v>72</v>
      </c>
      <c r="C351" s="83">
        <v>55</v>
      </c>
      <c r="D351" s="83">
        <v>57</v>
      </c>
      <c r="E351" s="83">
        <v>52</v>
      </c>
      <c r="F351" s="83">
        <v>50</v>
      </c>
      <c r="G351" s="83">
        <v>58</v>
      </c>
      <c r="H351" s="83">
        <v>58</v>
      </c>
      <c r="I351" s="83">
        <v>55</v>
      </c>
      <c r="J351" s="83">
        <v>54</v>
      </c>
      <c r="K351" s="83">
        <v>51</v>
      </c>
      <c r="L351" s="83">
        <v>56</v>
      </c>
      <c r="M351" s="83">
        <v>66</v>
      </c>
      <c r="N351" s="83">
        <v>103</v>
      </c>
      <c r="O351" s="83">
        <v>93</v>
      </c>
      <c r="P351" s="83">
        <v>112</v>
      </c>
      <c r="Q351" s="83">
        <v>119</v>
      </c>
      <c r="R351" s="83">
        <v>121</v>
      </c>
      <c r="S351" s="83">
        <v>144</v>
      </c>
      <c r="T351" s="83">
        <v>145</v>
      </c>
      <c r="U351" s="83">
        <v>143</v>
      </c>
      <c r="V351" s="83">
        <v>136</v>
      </c>
      <c r="W351" s="83">
        <v>131</v>
      </c>
      <c r="X351" s="83">
        <v>136</v>
      </c>
      <c r="Y351" s="83">
        <v>141</v>
      </c>
      <c r="Z351" s="83">
        <v>130</v>
      </c>
      <c r="AA351" s="83">
        <v>144</v>
      </c>
      <c r="AB351" s="83">
        <v>134</v>
      </c>
      <c r="AC351" s="83">
        <v>134</v>
      </c>
      <c r="AD351" s="83">
        <v>126</v>
      </c>
      <c r="AE351" s="83">
        <v>137</v>
      </c>
      <c r="AF351" s="83">
        <v>131</v>
      </c>
      <c r="AG351" s="83">
        <v>127</v>
      </c>
      <c r="AH351" s="83">
        <v>127</v>
      </c>
      <c r="AI351" s="83">
        <v>124</v>
      </c>
      <c r="AJ351" s="83">
        <v>124</v>
      </c>
      <c r="AK351" s="83">
        <v>124</v>
      </c>
      <c r="AL351" s="83">
        <v>107</v>
      </c>
      <c r="AM351" s="83">
        <v>114</v>
      </c>
      <c r="AN351" s="83">
        <v>110</v>
      </c>
      <c r="AO351" s="83">
        <v>115</v>
      </c>
      <c r="AP351" s="83">
        <v>106</v>
      </c>
      <c r="AQ351" s="83">
        <v>114</v>
      </c>
      <c r="AR351" s="83">
        <v>113</v>
      </c>
      <c r="AS351" s="83">
        <v>108</v>
      </c>
      <c r="AT351" s="83">
        <v>102</v>
      </c>
      <c r="AU351" s="83">
        <v>102</v>
      </c>
      <c r="AV351" s="83">
        <v>99</v>
      </c>
      <c r="AW351" s="83">
        <v>98</v>
      </c>
    </row>
    <row r="352" spans="1:49" x14ac:dyDescent="0.15">
      <c r="A352" s="83">
        <v>20200925</v>
      </c>
      <c r="B352" s="83">
        <v>69</v>
      </c>
      <c r="C352" s="83">
        <v>54</v>
      </c>
      <c r="D352" s="83">
        <v>54</v>
      </c>
      <c r="E352" s="83">
        <v>51</v>
      </c>
      <c r="F352" s="83">
        <v>50</v>
      </c>
      <c r="G352" s="83">
        <v>56</v>
      </c>
      <c r="H352" s="83">
        <v>57</v>
      </c>
      <c r="I352" s="83">
        <v>54</v>
      </c>
      <c r="J352" s="83">
        <v>53</v>
      </c>
      <c r="K352" s="83">
        <v>52</v>
      </c>
      <c r="L352" s="83">
        <v>55</v>
      </c>
      <c r="M352" s="83">
        <v>67</v>
      </c>
      <c r="N352" s="83">
        <v>101</v>
      </c>
      <c r="O352" s="83">
        <v>96</v>
      </c>
      <c r="P352" s="83">
        <v>107</v>
      </c>
      <c r="Q352" s="83">
        <v>115</v>
      </c>
      <c r="R352" s="83">
        <v>116</v>
      </c>
      <c r="S352" s="83">
        <v>129</v>
      </c>
      <c r="T352" s="83">
        <v>139</v>
      </c>
      <c r="U352" s="83">
        <v>129</v>
      </c>
      <c r="V352" s="83">
        <v>127</v>
      </c>
      <c r="W352" s="83">
        <v>120</v>
      </c>
      <c r="X352" s="83">
        <v>122</v>
      </c>
      <c r="Y352" s="83">
        <v>121</v>
      </c>
      <c r="Z352" s="83">
        <v>110</v>
      </c>
      <c r="AA352" s="83">
        <v>126</v>
      </c>
      <c r="AB352" s="83">
        <v>117</v>
      </c>
      <c r="AC352" s="83">
        <v>119</v>
      </c>
      <c r="AD352" s="83">
        <v>106</v>
      </c>
      <c r="AE352" s="83">
        <v>118</v>
      </c>
      <c r="AF352" s="83">
        <v>114</v>
      </c>
      <c r="AG352" s="83">
        <v>113</v>
      </c>
      <c r="AH352" s="83">
        <v>110</v>
      </c>
      <c r="AI352" s="83">
        <v>113</v>
      </c>
      <c r="AJ352" s="83">
        <v>115</v>
      </c>
      <c r="AK352" s="83">
        <v>113</v>
      </c>
      <c r="AL352" s="83">
        <v>98</v>
      </c>
      <c r="AM352" s="83">
        <v>107</v>
      </c>
      <c r="AN352" s="83">
        <v>104</v>
      </c>
      <c r="AO352" s="83">
        <v>107</v>
      </c>
      <c r="AP352" s="83">
        <v>98</v>
      </c>
      <c r="AQ352" s="83">
        <v>107</v>
      </c>
      <c r="AR352" s="83">
        <v>105</v>
      </c>
      <c r="AS352" s="83">
        <v>102</v>
      </c>
      <c r="AT352" s="83">
        <v>98</v>
      </c>
      <c r="AU352" s="83">
        <v>96</v>
      </c>
      <c r="AV352" s="83">
        <v>93</v>
      </c>
      <c r="AW352" s="83">
        <v>93</v>
      </c>
    </row>
    <row r="353" spans="1:49" x14ac:dyDescent="0.15">
      <c r="A353" s="83">
        <v>20200926</v>
      </c>
      <c r="B353" s="83">
        <v>70</v>
      </c>
      <c r="C353" s="83">
        <v>51</v>
      </c>
      <c r="D353" s="83">
        <v>52</v>
      </c>
      <c r="E353" s="83">
        <v>49</v>
      </c>
      <c r="F353" s="83">
        <v>47</v>
      </c>
      <c r="G353" s="83">
        <v>53</v>
      </c>
      <c r="H353" s="83">
        <v>53</v>
      </c>
      <c r="I353" s="83">
        <v>52</v>
      </c>
      <c r="J353" s="83">
        <v>48</v>
      </c>
      <c r="K353" s="83">
        <v>48</v>
      </c>
      <c r="L353" s="83">
        <v>49</v>
      </c>
      <c r="M353" s="83">
        <v>56</v>
      </c>
      <c r="N353" s="83">
        <v>96</v>
      </c>
      <c r="O353" s="83">
        <v>91</v>
      </c>
      <c r="P353" s="83">
        <v>107</v>
      </c>
      <c r="Q353" s="83">
        <v>115</v>
      </c>
      <c r="R353" s="83">
        <v>118</v>
      </c>
      <c r="S353" s="83">
        <v>143</v>
      </c>
      <c r="T353" s="83">
        <v>148</v>
      </c>
      <c r="U353" s="83">
        <v>146</v>
      </c>
      <c r="V353" s="83">
        <v>143</v>
      </c>
      <c r="W353" s="83">
        <v>142</v>
      </c>
      <c r="X353" s="83">
        <v>141</v>
      </c>
      <c r="Y353" s="83">
        <v>145</v>
      </c>
      <c r="Z353" s="83">
        <v>134</v>
      </c>
      <c r="AA353" s="83">
        <v>146</v>
      </c>
      <c r="AB353" s="83">
        <v>144</v>
      </c>
      <c r="AC353" s="83">
        <v>142</v>
      </c>
      <c r="AD353" s="83">
        <v>128</v>
      </c>
      <c r="AE353" s="83">
        <v>142</v>
      </c>
      <c r="AF353" s="83">
        <v>145</v>
      </c>
      <c r="AG353" s="83">
        <v>137</v>
      </c>
      <c r="AH353" s="83">
        <v>135</v>
      </c>
      <c r="AI353" s="83">
        <v>128</v>
      </c>
      <c r="AJ353" s="83">
        <v>129</v>
      </c>
      <c r="AK353" s="83">
        <v>122</v>
      </c>
      <c r="AL353" s="83">
        <v>111</v>
      </c>
      <c r="AM353" s="83">
        <v>124</v>
      </c>
      <c r="AN353" s="83">
        <v>123</v>
      </c>
      <c r="AO353" s="83">
        <v>125</v>
      </c>
      <c r="AP353" s="83">
        <v>115</v>
      </c>
      <c r="AQ353" s="83">
        <v>125</v>
      </c>
      <c r="AR353" s="83">
        <v>121</v>
      </c>
      <c r="AS353" s="83">
        <v>113</v>
      </c>
      <c r="AT353" s="83">
        <v>113</v>
      </c>
      <c r="AU353" s="83">
        <v>110</v>
      </c>
      <c r="AV353" s="83">
        <v>99</v>
      </c>
      <c r="AW353" s="83">
        <v>96</v>
      </c>
    </row>
    <row r="354" spans="1:49" x14ac:dyDescent="0.15">
      <c r="A354" s="83">
        <v>20200927</v>
      </c>
      <c r="B354" s="83">
        <v>68</v>
      </c>
      <c r="C354" s="83">
        <v>55</v>
      </c>
      <c r="D354" s="83">
        <v>52</v>
      </c>
      <c r="E354" s="83">
        <v>50</v>
      </c>
      <c r="F354" s="83">
        <v>46</v>
      </c>
      <c r="G354" s="83">
        <v>53</v>
      </c>
      <c r="H354" s="83">
        <v>53</v>
      </c>
      <c r="I354" s="83">
        <v>51</v>
      </c>
      <c r="J354" s="83">
        <v>49</v>
      </c>
      <c r="K354" s="83">
        <v>48</v>
      </c>
      <c r="L354" s="83">
        <v>48</v>
      </c>
      <c r="M354" s="83">
        <v>60</v>
      </c>
      <c r="N354" s="83">
        <v>97</v>
      </c>
      <c r="O354" s="83">
        <v>88</v>
      </c>
      <c r="P354" s="83">
        <v>110</v>
      </c>
      <c r="Q354" s="83">
        <v>119</v>
      </c>
      <c r="R354" s="83">
        <v>119</v>
      </c>
      <c r="S354" s="83">
        <v>139</v>
      </c>
      <c r="T354" s="83">
        <v>142</v>
      </c>
      <c r="U354" s="83">
        <v>139</v>
      </c>
      <c r="V354" s="83">
        <v>135</v>
      </c>
      <c r="W354" s="83">
        <v>141</v>
      </c>
      <c r="X354" s="83">
        <v>145</v>
      </c>
      <c r="Y354" s="83">
        <v>143</v>
      </c>
      <c r="Z354" s="83">
        <v>131</v>
      </c>
      <c r="AA354" s="83">
        <v>143</v>
      </c>
      <c r="AB354" s="83">
        <v>139</v>
      </c>
      <c r="AC354" s="83">
        <v>138</v>
      </c>
      <c r="AD354" s="83">
        <v>132</v>
      </c>
      <c r="AE354" s="83">
        <v>143</v>
      </c>
      <c r="AF354" s="83">
        <v>138</v>
      </c>
      <c r="AG354" s="83">
        <v>129</v>
      </c>
      <c r="AH354" s="83">
        <v>126</v>
      </c>
      <c r="AI354" s="83">
        <v>125</v>
      </c>
      <c r="AJ354" s="83">
        <v>119</v>
      </c>
      <c r="AK354" s="83">
        <v>119</v>
      </c>
      <c r="AL354" s="83">
        <v>104</v>
      </c>
      <c r="AM354" s="83">
        <v>117</v>
      </c>
      <c r="AN354" s="83">
        <v>111</v>
      </c>
      <c r="AO354" s="83">
        <v>109</v>
      </c>
      <c r="AP354" s="83">
        <v>106</v>
      </c>
      <c r="AQ354" s="83">
        <v>110</v>
      </c>
      <c r="AR354" s="83">
        <v>106</v>
      </c>
      <c r="AS354" s="83">
        <v>101</v>
      </c>
      <c r="AT354" s="83">
        <v>97</v>
      </c>
      <c r="AU354" s="83">
        <v>93</v>
      </c>
      <c r="AV354" s="83">
        <v>92</v>
      </c>
      <c r="AW354" s="83">
        <v>92</v>
      </c>
    </row>
    <row r="355" spans="1:49" x14ac:dyDescent="0.15">
      <c r="A355" s="83">
        <v>20200928</v>
      </c>
      <c r="B355" s="83">
        <v>66</v>
      </c>
      <c r="C355" s="83">
        <v>50</v>
      </c>
      <c r="D355" s="83">
        <v>50</v>
      </c>
      <c r="E355" s="83">
        <v>48</v>
      </c>
      <c r="F355" s="83">
        <v>45</v>
      </c>
      <c r="G355" s="83">
        <v>51</v>
      </c>
      <c r="H355" s="83">
        <v>51</v>
      </c>
      <c r="I355" s="83">
        <v>48</v>
      </c>
      <c r="J355" s="83">
        <v>46</v>
      </c>
      <c r="K355" s="83">
        <v>45</v>
      </c>
      <c r="L355" s="83">
        <v>48</v>
      </c>
      <c r="M355" s="83">
        <v>58</v>
      </c>
      <c r="N355" s="83">
        <v>97</v>
      </c>
      <c r="O355" s="83">
        <v>86</v>
      </c>
      <c r="P355" s="83">
        <v>102</v>
      </c>
      <c r="Q355" s="83">
        <v>111</v>
      </c>
      <c r="R355" s="83">
        <v>114</v>
      </c>
      <c r="S355" s="83">
        <v>134</v>
      </c>
      <c r="T355" s="83">
        <v>133</v>
      </c>
      <c r="U355" s="83">
        <v>129</v>
      </c>
      <c r="V355" s="83">
        <v>118</v>
      </c>
      <c r="W355" s="83">
        <v>126</v>
      </c>
      <c r="X355" s="83">
        <v>129</v>
      </c>
      <c r="Y355" s="83">
        <v>126</v>
      </c>
      <c r="Z355" s="83">
        <v>112</v>
      </c>
      <c r="AA355" s="83">
        <v>122</v>
      </c>
      <c r="AB355" s="83">
        <v>126</v>
      </c>
      <c r="AC355" s="83">
        <v>129</v>
      </c>
      <c r="AD355" s="83">
        <v>118</v>
      </c>
      <c r="AE355" s="83">
        <v>136</v>
      </c>
      <c r="AF355" s="83">
        <v>129</v>
      </c>
      <c r="AG355" s="83">
        <v>121</v>
      </c>
      <c r="AH355" s="83">
        <v>114</v>
      </c>
      <c r="AI355" s="83">
        <v>115</v>
      </c>
      <c r="AJ355" s="83">
        <v>113</v>
      </c>
      <c r="AK355" s="83">
        <v>112</v>
      </c>
      <c r="AL355" s="83">
        <v>102</v>
      </c>
      <c r="AM355" s="83">
        <v>104</v>
      </c>
      <c r="AN355" s="83">
        <v>104</v>
      </c>
      <c r="AO355" s="83">
        <v>101</v>
      </c>
      <c r="AP355" s="83">
        <v>96</v>
      </c>
      <c r="AQ355" s="83">
        <v>102</v>
      </c>
      <c r="AR355" s="83">
        <v>101</v>
      </c>
      <c r="AS355" s="83">
        <v>95</v>
      </c>
      <c r="AT355" s="83">
        <v>92</v>
      </c>
      <c r="AU355" s="83">
        <v>91</v>
      </c>
      <c r="AV355" s="83">
        <v>88</v>
      </c>
      <c r="AW355" s="83">
        <v>87</v>
      </c>
    </row>
    <row r="356" spans="1:49" x14ac:dyDescent="0.15">
      <c r="A356" s="83">
        <v>20200929</v>
      </c>
      <c r="B356" s="83">
        <v>64</v>
      </c>
      <c r="C356" s="83">
        <v>47</v>
      </c>
      <c r="D356" s="83">
        <v>45</v>
      </c>
      <c r="E356" s="83">
        <v>43</v>
      </c>
      <c r="F356" s="83">
        <v>41</v>
      </c>
      <c r="G356" s="83">
        <v>47</v>
      </c>
      <c r="H356" s="83">
        <v>46</v>
      </c>
      <c r="I356" s="83">
        <v>45</v>
      </c>
      <c r="J356" s="83">
        <v>44</v>
      </c>
      <c r="K356" s="83">
        <v>43</v>
      </c>
      <c r="L356" s="83">
        <v>46</v>
      </c>
      <c r="M356" s="83">
        <v>56</v>
      </c>
      <c r="N356" s="83">
        <v>94</v>
      </c>
      <c r="O356" s="83">
        <v>80</v>
      </c>
      <c r="P356" s="83">
        <v>97</v>
      </c>
      <c r="Q356" s="83">
        <v>100</v>
      </c>
      <c r="R356" s="83">
        <v>112</v>
      </c>
      <c r="S356" s="83">
        <v>124</v>
      </c>
      <c r="T356" s="83">
        <v>129</v>
      </c>
      <c r="U356" s="83">
        <v>123</v>
      </c>
      <c r="V356" s="83">
        <v>120</v>
      </c>
      <c r="W356" s="83">
        <v>122</v>
      </c>
      <c r="X356" s="83">
        <v>131</v>
      </c>
      <c r="Y356" s="83">
        <v>131</v>
      </c>
      <c r="Z356" s="83">
        <v>121</v>
      </c>
      <c r="AA356" s="83">
        <v>137</v>
      </c>
      <c r="AB356" s="83">
        <v>127</v>
      </c>
      <c r="AC356" s="83">
        <v>128</v>
      </c>
      <c r="AD356" s="83">
        <v>124</v>
      </c>
      <c r="AE356" s="83">
        <v>137</v>
      </c>
      <c r="AF356" s="83">
        <v>128</v>
      </c>
      <c r="AG356" s="83">
        <v>120</v>
      </c>
      <c r="AH356" s="83">
        <v>119</v>
      </c>
      <c r="AI356" s="83">
        <v>118</v>
      </c>
      <c r="AJ356" s="83">
        <v>116</v>
      </c>
      <c r="AK356" s="83">
        <v>118</v>
      </c>
      <c r="AL356" s="83">
        <v>102</v>
      </c>
      <c r="AM356" s="83">
        <v>115</v>
      </c>
      <c r="AN356" s="83">
        <v>102</v>
      </c>
      <c r="AO356" s="83">
        <v>105</v>
      </c>
      <c r="AP356" s="83">
        <v>98</v>
      </c>
      <c r="AQ356" s="83">
        <v>107</v>
      </c>
      <c r="AR356" s="83">
        <v>105</v>
      </c>
      <c r="AS356" s="83">
        <v>100</v>
      </c>
      <c r="AT356" s="83">
        <v>95</v>
      </c>
      <c r="AU356" s="83">
        <v>93</v>
      </c>
      <c r="AV356" s="83">
        <v>92</v>
      </c>
      <c r="AW356" s="83">
        <v>88</v>
      </c>
    </row>
    <row r="357" spans="1:49" x14ac:dyDescent="0.15">
      <c r="A357" s="83">
        <v>20200930</v>
      </c>
      <c r="B357" s="83">
        <v>64</v>
      </c>
      <c r="C357" s="83">
        <v>48</v>
      </c>
      <c r="D357" s="83">
        <v>49</v>
      </c>
      <c r="E357" s="83">
        <v>47</v>
      </c>
      <c r="F357" s="83">
        <v>43</v>
      </c>
      <c r="G357" s="83">
        <v>50</v>
      </c>
      <c r="H357" s="83">
        <v>48</v>
      </c>
      <c r="I357" s="83">
        <v>47</v>
      </c>
      <c r="J357" s="83">
        <v>45</v>
      </c>
      <c r="K357" s="83">
        <v>44</v>
      </c>
      <c r="L357" s="83">
        <v>46</v>
      </c>
      <c r="M357" s="83">
        <v>57</v>
      </c>
      <c r="N357" s="83">
        <v>93</v>
      </c>
      <c r="O357" s="83">
        <v>85</v>
      </c>
      <c r="P357" s="83">
        <v>101</v>
      </c>
      <c r="Q357" s="83">
        <v>106</v>
      </c>
      <c r="R357" s="83">
        <v>105</v>
      </c>
      <c r="S357" s="83">
        <v>122</v>
      </c>
      <c r="T357" s="83">
        <v>133</v>
      </c>
      <c r="U357" s="83">
        <v>125</v>
      </c>
      <c r="V357" s="83">
        <v>117</v>
      </c>
      <c r="W357" s="83">
        <v>129</v>
      </c>
      <c r="X357" s="83">
        <v>127</v>
      </c>
      <c r="Y357" s="83">
        <v>130</v>
      </c>
      <c r="Z357" s="83">
        <v>125</v>
      </c>
      <c r="AA357" s="83">
        <v>140</v>
      </c>
      <c r="AB357" s="83">
        <v>135</v>
      </c>
      <c r="AC357" s="83">
        <v>134</v>
      </c>
      <c r="AD357" s="83">
        <v>129</v>
      </c>
      <c r="AE357" s="83">
        <v>138</v>
      </c>
      <c r="AF357" s="83">
        <v>137</v>
      </c>
      <c r="AG357" s="83">
        <v>131</v>
      </c>
      <c r="AH357" s="83">
        <v>126</v>
      </c>
      <c r="AI357" s="83">
        <v>124</v>
      </c>
      <c r="AJ357" s="83">
        <v>122</v>
      </c>
      <c r="AK357" s="83">
        <v>117</v>
      </c>
      <c r="AL357" s="83">
        <v>110</v>
      </c>
      <c r="AM357" s="83">
        <v>115</v>
      </c>
      <c r="AN357" s="83">
        <v>105</v>
      </c>
      <c r="AO357" s="83">
        <v>110</v>
      </c>
      <c r="AP357" s="83">
        <v>102</v>
      </c>
      <c r="AQ357" s="83">
        <v>109</v>
      </c>
      <c r="AR357" s="83">
        <v>106</v>
      </c>
      <c r="AS357" s="83">
        <v>100</v>
      </c>
      <c r="AT357" s="83">
        <v>95</v>
      </c>
      <c r="AU357" s="83">
        <v>92</v>
      </c>
      <c r="AV357" s="83">
        <v>90</v>
      </c>
      <c r="AW357" s="83">
        <v>89</v>
      </c>
    </row>
    <row r="358" spans="1:49" x14ac:dyDescent="0.15">
      <c r="A358" s="72"/>
      <c r="B358" s="65">
        <f>AVERAGE(B327:B357)</f>
        <v>77.90841013824884</v>
      </c>
      <c r="C358" s="65">
        <f t="shared" ref="C358:AW358" si="13">AVERAGE(C327:C357)</f>
        <v>61.766666666666666</v>
      </c>
      <c r="D358" s="65">
        <f t="shared" si="13"/>
        <v>62.332373271889402</v>
      </c>
      <c r="E358" s="65">
        <f t="shared" si="13"/>
        <v>59.9</v>
      </c>
      <c r="F358" s="65">
        <f t="shared" si="13"/>
        <v>56.396313364055295</v>
      </c>
      <c r="G358" s="65">
        <f t="shared" si="13"/>
        <v>64.5</v>
      </c>
      <c r="H358" s="65">
        <f t="shared" si="13"/>
        <v>63.342741935483872</v>
      </c>
      <c r="I358" s="65">
        <f t="shared" si="13"/>
        <v>61.966666666666669</v>
      </c>
      <c r="J358" s="65">
        <f t="shared" si="13"/>
        <v>58.893433179723495</v>
      </c>
      <c r="K358" s="65">
        <f t="shared" si="13"/>
        <v>57.9</v>
      </c>
      <c r="L358" s="65">
        <f t="shared" si="13"/>
        <v>61.148041474654377</v>
      </c>
      <c r="M358" s="65">
        <f t="shared" si="13"/>
        <v>73.8</v>
      </c>
      <c r="N358" s="65">
        <f t="shared" si="13"/>
        <v>103.07085253456221</v>
      </c>
      <c r="O358" s="65">
        <f t="shared" si="13"/>
        <v>101.76666666666667</v>
      </c>
      <c r="P358" s="65">
        <f t="shared" si="13"/>
        <v>119.13364055299539</v>
      </c>
      <c r="Q358" s="65">
        <f t="shared" si="13"/>
        <v>128.4</v>
      </c>
      <c r="R358" s="65">
        <f t="shared" si="13"/>
        <v>129.31278801843317</v>
      </c>
      <c r="S358" s="65">
        <f t="shared" si="13"/>
        <v>150.80000000000001</v>
      </c>
      <c r="T358" s="65">
        <f t="shared" si="13"/>
        <v>157.03974654377882</v>
      </c>
      <c r="U358" s="65">
        <f t="shared" si="13"/>
        <v>154.33333333333334</v>
      </c>
      <c r="V358" s="65">
        <f t="shared" si="13"/>
        <v>152.62730414746542</v>
      </c>
      <c r="W358" s="65">
        <f t="shared" si="13"/>
        <v>153.33333333333334</v>
      </c>
      <c r="X358" s="65">
        <f t="shared" si="13"/>
        <v>156.25518433179721</v>
      </c>
      <c r="Y358" s="65">
        <f t="shared" si="13"/>
        <v>158.86666666666667</v>
      </c>
      <c r="Z358" s="65">
        <f t="shared" si="13"/>
        <v>149.9884792626728</v>
      </c>
      <c r="AA358" s="65">
        <f t="shared" si="13"/>
        <v>159.80000000000001</v>
      </c>
      <c r="AB358" s="65">
        <f t="shared" si="13"/>
        <v>157.98271889400922</v>
      </c>
      <c r="AC358" s="65">
        <f t="shared" si="13"/>
        <v>155.63333333333333</v>
      </c>
      <c r="AD358" s="65">
        <f t="shared" si="13"/>
        <v>147.7913631633715</v>
      </c>
      <c r="AE358" s="65">
        <f t="shared" si="13"/>
        <v>160.16666666666666</v>
      </c>
      <c r="AF358" s="65">
        <f t="shared" si="13"/>
        <v>157.64255983350679</v>
      </c>
      <c r="AG358" s="65">
        <f t="shared" si="13"/>
        <v>151.36666666666667</v>
      </c>
      <c r="AH358" s="65">
        <f t="shared" si="13"/>
        <v>146.87252861602499</v>
      </c>
      <c r="AI358" s="65">
        <f t="shared" si="13"/>
        <v>143.30000000000001</v>
      </c>
      <c r="AJ358" s="65">
        <f t="shared" si="13"/>
        <v>141.81477627471384</v>
      </c>
      <c r="AK358" s="65">
        <f t="shared" si="13"/>
        <v>138.73333333333332</v>
      </c>
      <c r="AL358" s="65">
        <f t="shared" si="13"/>
        <v>126.09105098855358</v>
      </c>
      <c r="AM358" s="65">
        <f t="shared" si="13"/>
        <v>134.5</v>
      </c>
      <c r="AN358" s="65">
        <f t="shared" si="13"/>
        <v>129.32622268470342</v>
      </c>
      <c r="AO358" s="65">
        <f t="shared" si="13"/>
        <v>127.96666666666667</v>
      </c>
      <c r="AP358" s="65">
        <f t="shared" si="13"/>
        <v>119.40166493236212</v>
      </c>
      <c r="AQ358" s="65">
        <f t="shared" si="13"/>
        <v>127.46666666666667</v>
      </c>
      <c r="AR358" s="65">
        <f t="shared" si="13"/>
        <v>124.89021852237252</v>
      </c>
      <c r="AS358" s="65">
        <f t="shared" si="13"/>
        <v>117.3</v>
      </c>
      <c r="AT358" s="65">
        <f t="shared" si="13"/>
        <v>112.99063475546306</v>
      </c>
      <c r="AU358" s="65">
        <f t="shared" si="13"/>
        <v>110.53333333333333</v>
      </c>
      <c r="AV358" s="65">
        <f t="shared" si="13"/>
        <v>108.09001040582726</v>
      </c>
      <c r="AW358" s="65">
        <f t="shared" si="13"/>
        <v>105.53333333333333</v>
      </c>
    </row>
    <row r="359" spans="1:49" x14ac:dyDescent="0.15">
      <c r="A359" s="72"/>
      <c r="B359" s="173">
        <f>AVERAGE(B328:C358)</f>
        <v>69.881856077498625</v>
      </c>
      <c r="C359" s="173"/>
      <c r="D359" s="173">
        <f>AVERAGE(D328:E358)</f>
        <v>61.068264085030478</v>
      </c>
      <c r="E359" s="173"/>
      <c r="F359" s="173">
        <f>AVERAGE(F328:G358)</f>
        <v>60.337037312323474</v>
      </c>
      <c r="G359" s="173"/>
      <c r="H359" s="173">
        <f>AVERAGE(H328:I358)</f>
        <v>62.617893687131463</v>
      </c>
      <c r="I359" s="173"/>
      <c r="J359" s="173">
        <f>AVERAGE(J328:K358)</f>
        <v>58.335377954511671</v>
      </c>
      <c r="K359" s="173"/>
      <c r="L359" s="173">
        <f>AVERAGE(L328:M358)</f>
        <v>67.224968410881516</v>
      </c>
      <c r="M359" s="173"/>
      <c r="N359" s="173">
        <f>AVERAGE(N328:O358)</f>
        <v>102.28770192260046</v>
      </c>
      <c r="O359" s="173"/>
      <c r="P359" s="173">
        <f>AVERAGE(P328:Q358)</f>
        <v>123.50860710569347</v>
      </c>
      <c r="Q359" s="173"/>
      <c r="R359" s="173">
        <f>AVERAGE(R328:S358)</f>
        <v>139.66310948416827</v>
      </c>
      <c r="S359" s="173"/>
      <c r="T359" s="173">
        <f>AVERAGE(T328:U358)</f>
        <v>155.42537225608245</v>
      </c>
      <c r="U359" s="173"/>
      <c r="V359" s="173">
        <f>AVERAGE(V328:W358)</f>
        <v>152.62839737872255</v>
      </c>
      <c r="W359" s="173"/>
      <c r="X359" s="173">
        <f>AVERAGE(X328:Y358)</f>
        <v>157.17938469352362</v>
      </c>
      <c r="Y359" s="173"/>
      <c r="Z359" s="173">
        <f>AVERAGE(Z328:AA358)</f>
        <v>154.44820127843019</v>
      </c>
      <c r="AA359" s="173"/>
      <c r="AB359" s="173">
        <f>AVERAGE(AB328:AC358)</f>
        <v>156.44542019721518</v>
      </c>
      <c r="AC359" s="173"/>
      <c r="AD359" s="173">
        <f>AVERAGE(AD328:AE358)</f>
        <v>153.51545209403287</v>
      </c>
      <c r="AE359" s="173"/>
      <c r="AF359" s="173">
        <f>AVERAGE(AF328:AG358)</f>
        <v>154.14531010484151</v>
      </c>
      <c r="AG359" s="173"/>
      <c r="AH359" s="173">
        <f>AVERAGE(AH328:AI358)</f>
        <v>144.71246013896811</v>
      </c>
      <c r="AI359" s="173"/>
      <c r="AJ359" s="173">
        <f>AVERAGE(AJ328:AK358)</f>
        <v>139.92819531625884</v>
      </c>
      <c r="AK359" s="173"/>
      <c r="AL359" s="173">
        <f>AVERAGE(AL328:AM358)</f>
        <v>129.89662985465409</v>
      </c>
      <c r="AM359" s="173"/>
      <c r="AN359" s="173">
        <f>AVERAGE(AN328:AO358)</f>
        <v>128.35956273147372</v>
      </c>
      <c r="AO359" s="173"/>
      <c r="AP359" s="173">
        <f>AVERAGE(AP328:AQ358)</f>
        <v>123.11077954191981</v>
      </c>
      <c r="AQ359" s="173"/>
      <c r="AR359" s="173">
        <f>AVERAGE(AR328:AS358)</f>
        <v>120.93855191165117</v>
      </c>
      <c r="AS359" s="173"/>
      <c r="AT359" s="173">
        <f>AVERAGE(AT328:AU358)</f>
        <v>111.58909625949673</v>
      </c>
      <c r="AU359" s="173"/>
      <c r="AV359" s="173">
        <f>AVERAGE(AV328:AW358)</f>
        <v>106.65521522159938</v>
      </c>
      <c r="AW359" s="173"/>
    </row>
    <row r="360" spans="1:49" x14ac:dyDescent="0.15">
      <c r="A360" s="83">
        <v>20201001</v>
      </c>
      <c r="B360" s="83">
        <v>67</v>
      </c>
      <c r="C360" s="83">
        <v>48</v>
      </c>
      <c r="D360" s="83">
        <v>48</v>
      </c>
      <c r="E360" s="83">
        <v>45</v>
      </c>
      <c r="F360" s="83">
        <v>44</v>
      </c>
      <c r="G360" s="83">
        <v>49</v>
      </c>
      <c r="H360" s="83">
        <v>49</v>
      </c>
      <c r="I360" s="83">
        <v>48</v>
      </c>
      <c r="J360" s="83">
        <v>44</v>
      </c>
      <c r="K360" s="83">
        <v>43</v>
      </c>
      <c r="L360" s="83">
        <v>44</v>
      </c>
      <c r="M360" s="83">
        <v>52</v>
      </c>
      <c r="N360" s="83">
        <v>93</v>
      </c>
      <c r="O360" s="83">
        <v>86</v>
      </c>
      <c r="P360" s="83">
        <v>102</v>
      </c>
      <c r="Q360" s="83">
        <v>99</v>
      </c>
      <c r="R360" s="83">
        <v>112</v>
      </c>
      <c r="S360" s="83">
        <v>124</v>
      </c>
      <c r="T360" s="83">
        <v>127</v>
      </c>
      <c r="U360" s="83">
        <v>126</v>
      </c>
      <c r="V360" s="83">
        <v>121</v>
      </c>
      <c r="W360" s="83">
        <v>124</v>
      </c>
      <c r="X360" s="83">
        <v>127</v>
      </c>
      <c r="Y360" s="83">
        <v>129</v>
      </c>
      <c r="Z360" s="83">
        <v>124</v>
      </c>
      <c r="AA360" s="83">
        <v>131</v>
      </c>
      <c r="AB360" s="83">
        <v>132</v>
      </c>
      <c r="AC360" s="83">
        <v>134</v>
      </c>
      <c r="AD360" s="83">
        <v>120</v>
      </c>
      <c r="AE360" s="83">
        <v>136</v>
      </c>
      <c r="AF360" s="83">
        <v>134</v>
      </c>
      <c r="AG360" s="83">
        <v>132</v>
      </c>
      <c r="AH360" s="83">
        <v>120</v>
      </c>
      <c r="AI360" s="83">
        <v>119</v>
      </c>
      <c r="AJ360" s="83">
        <v>119</v>
      </c>
      <c r="AK360" s="83">
        <v>120</v>
      </c>
      <c r="AL360" s="83">
        <v>107</v>
      </c>
      <c r="AM360" s="83">
        <v>117</v>
      </c>
      <c r="AN360" s="83">
        <v>110</v>
      </c>
      <c r="AO360" s="83">
        <v>107</v>
      </c>
      <c r="AP360" s="83">
        <v>98</v>
      </c>
      <c r="AQ360" s="83">
        <v>105</v>
      </c>
      <c r="AR360" s="83">
        <v>101</v>
      </c>
      <c r="AS360" s="83">
        <v>96</v>
      </c>
      <c r="AT360" s="83">
        <v>93</v>
      </c>
      <c r="AU360" s="83">
        <v>91</v>
      </c>
      <c r="AV360" s="83">
        <v>90</v>
      </c>
      <c r="AW360" s="83">
        <v>87</v>
      </c>
    </row>
    <row r="361" spans="1:49" x14ac:dyDescent="0.15">
      <c r="A361" s="83">
        <v>20201002</v>
      </c>
      <c r="B361" s="83">
        <v>62</v>
      </c>
      <c r="C361" s="83">
        <v>46</v>
      </c>
      <c r="D361" s="83">
        <v>47</v>
      </c>
      <c r="E361" s="83">
        <v>44</v>
      </c>
      <c r="F361" s="83">
        <v>43</v>
      </c>
      <c r="G361" s="83">
        <v>47</v>
      </c>
      <c r="H361" s="83">
        <v>45</v>
      </c>
      <c r="I361" s="83">
        <v>45</v>
      </c>
      <c r="J361" s="83">
        <v>43</v>
      </c>
      <c r="K361" s="83">
        <v>42</v>
      </c>
      <c r="L361" s="83">
        <v>44</v>
      </c>
      <c r="M361" s="83">
        <v>56</v>
      </c>
      <c r="N361" s="83">
        <v>93</v>
      </c>
      <c r="O361" s="83">
        <v>83</v>
      </c>
      <c r="P361" s="83">
        <v>97</v>
      </c>
      <c r="Q361" s="83">
        <v>107</v>
      </c>
      <c r="R361" s="83">
        <v>107</v>
      </c>
      <c r="S361" s="83">
        <v>126</v>
      </c>
      <c r="T361" s="83">
        <v>133</v>
      </c>
      <c r="U361" s="83">
        <v>134</v>
      </c>
      <c r="V361" s="83">
        <v>131</v>
      </c>
      <c r="W361" s="83">
        <v>133</v>
      </c>
      <c r="X361" s="83">
        <v>137</v>
      </c>
      <c r="Y361" s="83">
        <v>137</v>
      </c>
      <c r="Z361" s="83">
        <v>125</v>
      </c>
      <c r="AA361" s="83">
        <v>138</v>
      </c>
      <c r="AB361" s="83">
        <v>137</v>
      </c>
      <c r="AC361" s="83">
        <v>136</v>
      </c>
      <c r="AD361" s="83">
        <v>125</v>
      </c>
      <c r="AE361" s="83">
        <v>140</v>
      </c>
      <c r="AF361" s="83">
        <v>132</v>
      </c>
      <c r="AG361" s="83">
        <v>130</v>
      </c>
      <c r="AH361" s="83">
        <v>123</v>
      </c>
      <c r="AI361" s="83">
        <v>121</v>
      </c>
      <c r="AJ361" s="83">
        <v>122</v>
      </c>
      <c r="AK361" s="83">
        <v>120</v>
      </c>
      <c r="AL361" s="83">
        <v>107</v>
      </c>
      <c r="AM361" s="83">
        <v>116</v>
      </c>
      <c r="AN361" s="83">
        <v>109</v>
      </c>
      <c r="AO361" s="83">
        <v>103</v>
      </c>
      <c r="AP361" s="83">
        <v>99</v>
      </c>
      <c r="AQ361" s="83">
        <v>108</v>
      </c>
      <c r="AR361" s="83">
        <v>104</v>
      </c>
      <c r="AS361" s="83">
        <v>101</v>
      </c>
      <c r="AT361" s="83">
        <v>98</v>
      </c>
      <c r="AU361" s="83">
        <v>97</v>
      </c>
      <c r="AV361" s="83">
        <v>93</v>
      </c>
      <c r="AW361" s="83">
        <v>93</v>
      </c>
    </row>
    <row r="362" spans="1:49" x14ac:dyDescent="0.15">
      <c r="A362" s="83">
        <v>20201003</v>
      </c>
      <c r="B362" s="83">
        <v>69</v>
      </c>
      <c r="C362" s="83">
        <v>49</v>
      </c>
      <c r="D362" s="83">
        <v>49</v>
      </c>
      <c r="E362" s="83">
        <v>48</v>
      </c>
      <c r="F362" s="83">
        <v>46</v>
      </c>
      <c r="G362" s="83">
        <v>52</v>
      </c>
      <c r="H362" s="83">
        <v>51</v>
      </c>
      <c r="I362" s="83">
        <v>50</v>
      </c>
      <c r="J362" s="83">
        <v>48</v>
      </c>
      <c r="K362" s="83">
        <v>48</v>
      </c>
      <c r="L362" s="83">
        <v>46</v>
      </c>
      <c r="M362" s="83">
        <v>52</v>
      </c>
      <c r="N362" s="83">
        <v>98</v>
      </c>
      <c r="O362" s="83">
        <v>98</v>
      </c>
      <c r="P362" s="83">
        <v>103</v>
      </c>
      <c r="Q362" s="83">
        <v>109</v>
      </c>
      <c r="R362" s="83">
        <v>109</v>
      </c>
      <c r="S362" s="83">
        <v>125</v>
      </c>
      <c r="T362" s="83">
        <v>132</v>
      </c>
      <c r="U362" s="83">
        <v>132</v>
      </c>
      <c r="V362" s="83">
        <v>126</v>
      </c>
      <c r="W362" s="83">
        <v>125</v>
      </c>
      <c r="X362" s="83">
        <v>132</v>
      </c>
      <c r="Y362" s="83">
        <v>134</v>
      </c>
      <c r="Z362" s="83">
        <v>120</v>
      </c>
      <c r="AA362" s="83">
        <v>136</v>
      </c>
      <c r="AB362" s="83">
        <v>126</v>
      </c>
      <c r="AC362" s="83">
        <v>133</v>
      </c>
      <c r="AD362" s="83">
        <v>124</v>
      </c>
      <c r="AE362" s="83">
        <v>139</v>
      </c>
      <c r="AF362" s="83">
        <v>128</v>
      </c>
      <c r="AG362" s="83">
        <v>128</v>
      </c>
      <c r="AH362" s="83">
        <v>125</v>
      </c>
      <c r="AI362" s="83">
        <v>119</v>
      </c>
      <c r="AJ362" s="83">
        <v>118</v>
      </c>
      <c r="AK362" s="83">
        <v>118</v>
      </c>
      <c r="AL362" s="83">
        <v>109</v>
      </c>
      <c r="AM362" s="83">
        <v>115</v>
      </c>
      <c r="AN362" s="83">
        <v>109</v>
      </c>
      <c r="AO362" s="83">
        <v>108</v>
      </c>
      <c r="AP362" s="83">
        <v>109</v>
      </c>
      <c r="AQ362" s="83">
        <v>112</v>
      </c>
      <c r="AR362" s="83">
        <v>107</v>
      </c>
      <c r="AS362" s="83">
        <v>102</v>
      </c>
      <c r="AT362" s="83">
        <v>98</v>
      </c>
      <c r="AU362" s="83">
        <v>96</v>
      </c>
      <c r="AV362" s="83">
        <v>95</v>
      </c>
      <c r="AW362" s="83">
        <v>94</v>
      </c>
    </row>
    <row r="363" spans="1:49" x14ac:dyDescent="0.15">
      <c r="A363" s="83">
        <v>20201004</v>
      </c>
      <c r="B363" s="83">
        <v>67</v>
      </c>
      <c r="C363" s="83">
        <v>50</v>
      </c>
      <c r="D363" s="83">
        <v>48</v>
      </c>
      <c r="E363" s="83">
        <v>46</v>
      </c>
      <c r="F363" s="83">
        <v>43</v>
      </c>
      <c r="G363" s="83">
        <v>51</v>
      </c>
      <c r="H363" s="83">
        <v>48</v>
      </c>
      <c r="I363" s="83">
        <v>47</v>
      </c>
      <c r="J363" s="83">
        <v>45</v>
      </c>
      <c r="K363" s="83">
        <v>45</v>
      </c>
      <c r="L363" s="83">
        <v>44</v>
      </c>
      <c r="M363" s="83">
        <v>56</v>
      </c>
      <c r="N363" s="83">
        <v>96</v>
      </c>
      <c r="O363" s="83">
        <v>87</v>
      </c>
      <c r="P363" s="83">
        <v>105</v>
      </c>
      <c r="Q363" s="83">
        <v>105</v>
      </c>
      <c r="R363" s="83">
        <v>111</v>
      </c>
      <c r="S363" s="83">
        <v>125</v>
      </c>
      <c r="T363" s="83">
        <v>136</v>
      </c>
      <c r="U363" s="83">
        <v>129</v>
      </c>
      <c r="V363" s="83">
        <v>126</v>
      </c>
      <c r="W363" s="83">
        <v>127</v>
      </c>
      <c r="X363" s="83">
        <v>126</v>
      </c>
      <c r="Y363" s="83">
        <v>136</v>
      </c>
      <c r="Z363" s="83">
        <v>129</v>
      </c>
      <c r="AA363" s="83">
        <v>140</v>
      </c>
      <c r="AB363" s="83">
        <v>135</v>
      </c>
      <c r="AC363" s="83">
        <v>135</v>
      </c>
      <c r="AD363" s="83">
        <v>127</v>
      </c>
      <c r="AE363" s="83">
        <v>145</v>
      </c>
      <c r="AF363" s="83">
        <v>139</v>
      </c>
      <c r="AG363" s="83">
        <v>129</v>
      </c>
      <c r="AH363" s="83">
        <v>125</v>
      </c>
      <c r="AI363" s="83">
        <v>124</v>
      </c>
      <c r="AJ363" s="83">
        <v>122</v>
      </c>
      <c r="AK363" s="83">
        <v>119</v>
      </c>
      <c r="AL363" s="83">
        <v>113</v>
      </c>
      <c r="AM363" s="83">
        <v>121</v>
      </c>
      <c r="AN363" s="83">
        <v>110</v>
      </c>
      <c r="AO363" s="83">
        <v>108</v>
      </c>
      <c r="AP363" s="83">
        <v>103</v>
      </c>
      <c r="AQ363" s="83">
        <v>115</v>
      </c>
      <c r="AR363" s="83">
        <v>109</v>
      </c>
      <c r="AS363" s="83">
        <v>107</v>
      </c>
      <c r="AT363" s="83">
        <v>101</v>
      </c>
      <c r="AU363" s="83">
        <v>100</v>
      </c>
      <c r="AV363" s="83">
        <v>97</v>
      </c>
      <c r="AW363" s="83">
        <v>96</v>
      </c>
    </row>
    <row r="364" spans="1:49" x14ac:dyDescent="0.15">
      <c r="A364" s="83">
        <v>20201005</v>
      </c>
      <c r="B364" s="83">
        <v>69</v>
      </c>
      <c r="C364" s="83">
        <v>51</v>
      </c>
      <c r="D364" s="83">
        <v>54</v>
      </c>
      <c r="E364" s="83">
        <v>51</v>
      </c>
      <c r="F364" s="83">
        <v>48</v>
      </c>
      <c r="G364" s="83">
        <v>57</v>
      </c>
      <c r="H364" s="83">
        <v>51</v>
      </c>
      <c r="I364" s="83">
        <v>51</v>
      </c>
      <c r="J364" s="83">
        <v>49</v>
      </c>
      <c r="K364" s="83">
        <v>50</v>
      </c>
      <c r="L364" s="83">
        <v>53</v>
      </c>
      <c r="M364" s="83">
        <v>62</v>
      </c>
      <c r="N364" s="83">
        <v>99</v>
      </c>
      <c r="O364" s="83">
        <v>91</v>
      </c>
      <c r="P364" s="83">
        <v>101</v>
      </c>
      <c r="Q364" s="83">
        <v>109</v>
      </c>
      <c r="R364" s="83">
        <v>110</v>
      </c>
      <c r="S364" s="83">
        <v>138</v>
      </c>
      <c r="T364" s="83">
        <v>141</v>
      </c>
      <c r="U364" s="83">
        <v>138</v>
      </c>
      <c r="V364" s="83">
        <v>134</v>
      </c>
      <c r="W364" s="83">
        <v>131</v>
      </c>
      <c r="X364" s="83">
        <v>134</v>
      </c>
      <c r="Y364" s="83">
        <v>131</v>
      </c>
      <c r="Z364" s="83">
        <v>124</v>
      </c>
      <c r="AA364" s="83">
        <v>131</v>
      </c>
      <c r="AB364" s="83">
        <v>125</v>
      </c>
      <c r="AC364" s="83">
        <v>125</v>
      </c>
      <c r="AD364" s="83">
        <v>116</v>
      </c>
      <c r="AE364" s="83">
        <v>128</v>
      </c>
      <c r="AF364" s="83">
        <v>124</v>
      </c>
      <c r="AG364" s="83">
        <v>118</v>
      </c>
      <c r="AH364" s="83">
        <v>116</v>
      </c>
      <c r="AI364" s="83">
        <v>115</v>
      </c>
      <c r="AJ364" s="83">
        <v>115</v>
      </c>
      <c r="AK364" s="83">
        <v>114</v>
      </c>
      <c r="AL364" s="83">
        <v>104</v>
      </c>
      <c r="AM364" s="83">
        <v>119</v>
      </c>
      <c r="AN364" s="83">
        <v>112</v>
      </c>
      <c r="AO364" s="83">
        <v>116</v>
      </c>
      <c r="AP364" s="83">
        <v>104</v>
      </c>
      <c r="AQ364" s="83">
        <v>115</v>
      </c>
      <c r="AR364" s="83">
        <v>111</v>
      </c>
      <c r="AS364" s="83">
        <v>107</v>
      </c>
      <c r="AT364" s="83">
        <v>105</v>
      </c>
      <c r="AU364" s="83">
        <v>104</v>
      </c>
      <c r="AV364" s="83">
        <v>101</v>
      </c>
      <c r="AW364" s="83">
        <v>99</v>
      </c>
    </row>
    <row r="365" spans="1:49" x14ac:dyDescent="0.15">
      <c r="A365" s="83">
        <v>20201006</v>
      </c>
      <c r="B365" s="83">
        <v>63</v>
      </c>
      <c r="C365" s="83">
        <v>48</v>
      </c>
      <c r="D365" s="83">
        <v>48</v>
      </c>
      <c r="E365" s="83">
        <v>44</v>
      </c>
      <c r="F365" s="83">
        <v>43</v>
      </c>
      <c r="G365" s="83">
        <v>48</v>
      </c>
      <c r="H365" s="83">
        <v>45</v>
      </c>
      <c r="I365" s="83">
        <v>45</v>
      </c>
      <c r="J365" s="83">
        <v>42</v>
      </c>
      <c r="K365" s="83">
        <v>42</v>
      </c>
      <c r="L365" s="83">
        <v>44</v>
      </c>
      <c r="M365" s="83">
        <v>54</v>
      </c>
      <c r="N365" s="83">
        <v>101</v>
      </c>
      <c r="O365" s="83">
        <v>93</v>
      </c>
      <c r="P365" s="83">
        <v>104</v>
      </c>
      <c r="Q365" s="83">
        <v>108</v>
      </c>
      <c r="R365" s="83">
        <v>112</v>
      </c>
      <c r="S365" s="83">
        <v>133</v>
      </c>
      <c r="T365" s="83">
        <v>129</v>
      </c>
      <c r="U365" s="83">
        <v>126</v>
      </c>
      <c r="V365" s="83">
        <v>131</v>
      </c>
      <c r="W365" s="83">
        <v>125</v>
      </c>
      <c r="X365" s="83">
        <v>126</v>
      </c>
      <c r="Y365" s="83">
        <v>123</v>
      </c>
      <c r="Z365" s="83">
        <v>116</v>
      </c>
      <c r="AA365" s="83">
        <v>131</v>
      </c>
      <c r="AB365" s="83">
        <v>122</v>
      </c>
      <c r="AC365" s="83">
        <v>129</v>
      </c>
      <c r="AD365" s="83">
        <v>118</v>
      </c>
      <c r="AE365" s="83">
        <v>131</v>
      </c>
      <c r="AF365" s="83">
        <v>122</v>
      </c>
      <c r="AG365" s="83">
        <v>117</v>
      </c>
      <c r="AH365" s="83">
        <v>113</v>
      </c>
      <c r="AI365" s="83">
        <v>111</v>
      </c>
      <c r="AJ365" s="83">
        <v>114</v>
      </c>
      <c r="AK365" s="83">
        <v>109</v>
      </c>
      <c r="AL365" s="83">
        <v>103</v>
      </c>
      <c r="AM365" s="83">
        <v>116</v>
      </c>
      <c r="AN365" s="83">
        <v>111</v>
      </c>
      <c r="AO365" s="83">
        <v>113</v>
      </c>
      <c r="AP365" s="83">
        <v>103</v>
      </c>
      <c r="AQ365" s="83">
        <v>112</v>
      </c>
      <c r="AR365" s="83">
        <v>107</v>
      </c>
      <c r="AS365" s="83">
        <v>104</v>
      </c>
      <c r="AT365" s="83">
        <v>102</v>
      </c>
      <c r="AU365" s="83">
        <v>99</v>
      </c>
      <c r="AV365" s="83">
        <v>98</v>
      </c>
      <c r="AW365" s="83">
        <v>92</v>
      </c>
    </row>
    <row r="366" spans="1:49" x14ac:dyDescent="0.15">
      <c r="A366" s="83">
        <v>20201007</v>
      </c>
      <c r="B366" s="83">
        <v>61</v>
      </c>
      <c r="C366" s="83">
        <v>47</v>
      </c>
      <c r="D366" s="83">
        <v>46</v>
      </c>
      <c r="E366" s="83">
        <v>43</v>
      </c>
      <c r="F366" s="83">
        <v>43</v>
      </c>
      <c r="G366" s="83">
        <v>48</v>
      </c>
      <c r="H366" s="83">
        <v>46</v>
      </c>
      <c r="I366" s="83">
        <v>45</v>
      </c>
      <c r="J366" s="83">
        <v>41</v>
      </c>
      <c r="K366" s="83">
        <v>43</v>
      </c>
      <c r="L366" s="83">
        <v>43</v>
      </c>
      <c r="M366" s="83">
        <v>55</v>
      </c>
      <c r="N366" s="83">
        <v>109</v>
      </c>
      <c r="O366" s="83">
        <v>100</v>
      </c>
      <c r="P366" s="83">
        <v>112</v>
      </c>
      <c r="Q366" s="83">
        <v>117</v>
      </c>
      <c r="R366" s="83">
        <v>117</v>
      </c>
      <c r="S366" s="83">
        <v>120</v>
      </c>
      <c r="T366" s="83">
        <v>127</v>
      </c>
      <c r="U366" s="83">
        <v>115</v>
      </c>
      <c r="V366" s="83">
        <v>118</v>
      </c>
      <c r="W366" s="83">
        <v>113</v>
      </c>
      <c r="X366" s="83">
        <v>121</v>
      </c>
      <c r="Y366" s="83">
        <v>118</v>
      </c>
      <c r="Z366" s="83">
        <v>117</v>
      </c>
      <c r="AA366" s="83">
        <v>125</v>
      </c>
      <c r="AB366" s="83">
        <v>117</v>
      </c>
      <c r="AC366" s="83">
        <v>120</v>
      </c>
      <c r="AD366" s="83">
        <v>110</v>
      </c>
      <c r="AE366" s="83">
        <v>120</v>
      </c>
      <c r="AF366" s="83">
        <v>120</v>
      </c>
      <c r="AG366" s="83">
        <v>107</v>
      </c>
      <c r="AH366" s="83">
        <v>106</v>
      </c>
      <c r="AI366" s="83">
        <v>104</v>
      </c>
      <c r="AJ366" s="83">
        <v>108</v>
      </c>
      <c r="AK366" s="83">
        <v>107</v>
      </c>
      <c r="AL366" s="83">
        <v>99</v>
      </c>
      <c r="AM366" s="83">
        <v>105</v>
      </c>
      <c r="AN366" s="83">
        <v>95</v>
      </c>
      <c r="AO366" s="83">
        <v>97</v>
      </c>
      <c r="AP366" s="83">
        <v>93</v>
      </c>
      <c r="AQ366" s="83">
        <v>102</v>
      </c>
      <c r="AR366" s="83">
        <v>99</v>
      </c>
      <c r="AS366" s="83">
        <v>96</v>
      </c>
      <c r="AT366" s="83">
        <v>91</v>
      </c>
      <c r="AU366" s="83">
        <v>91</v>
      </c>
      <c r="AV366" s="83">
        <v>90</v>
      </c>
      <c r="AW366" s="83">
        <v>88</v>
      </c>
    </row>
    <row r="367" spans="1:49" x14ac:dyDescent="0.15">
      <c r="A367" s="83">
        <v>20201008</v>
      </c>
      <c r="B367" s="83">
        <v>65</v>
      </c>
      <c r="C367" s="83">
        <v>47</v>
      </c>
      <c r="D367" s="83">
        <v>48</v>
      </c>
      <c r="E367" s="83">
        <v>44</v>
      </c>
      <c r="F367" s="83">
        <v>44</v>
      </c>
      <c r="G367" s="83">
        <v>49</v>
      </c>
      <c r="H367" s="83">
        <v>48</v>
      </c>
      <c r="I367" s="83">
        <v>46</v>
      </c>
      <c r="J367" s="83">
        <v>44</v>
      </c>
      <c r="K367" s="83">
        <v>43</v>
      </c>
      <c r="L367" s="83">
        <v>43</v>
      </c>
      <c r="M367" s="83">
        <v>54</v>
      </c>
      <c r="N367" s="83">
        <v>101</v>
      </c>
      <c r="O367" s="83">
        <v>96</v>
      </c>
      <c r="P367" s="83">
        <v>113</v>
      </c>
      <c r="Q367" s="83">
        <v>117</v>
      </c>
      <c r="R367" s="83">
        <v>119</v>
      </c>
      <c r="S367" s="83">
        <v>127</v>
      </c>
      <c r="T367" s="83">
        <v>139</v>
      </c>
      <c r="U367" s="83">
        <v>132</v>
      </c>
      <c r="V367" s="83">
        <v>120</v>
      </c>
      <c r="W367" s="83">
        <v>127</v>
      </c>
      <c r="X367" s="83">
        <v>131</v>
      </c>
      <c r="Y367" s="83">
        <v>130</v>
      </c>
      <c r="Z367" s="83">
        <v>123</v>
      </c>
      <c r="AA367" s="83">
        <v>125</v>
      </c>
      <c r="AB367" s="83">
        <v>126</v>
      </c>
      <c r="AC367" s="83">
        <v>124</v>
      </c>
      <c r="AD367" s="83">
        <v>118</v>
      </c>
      <c r="AE367" s="83">
        <v>130</v>
      </c>
      <c r="AF367" s="83">
        <v>127</v>
      </c>
      <c r="AG367" s="83">
        <v>123</v>
      </c>
      <c r="AH367" s="83">
        <v>118</v>
      </c>
      <c r="AI367" s="83">
        <v>125</v>
      </c>
      <c r="AJ367" s="83">
        <v>115</v>
      </c>
      <c r="AK367" s="83">
        <v>116</v>
      </c>
      <c r="AL367" s="83">
        <v>107</v>
      </c>
      <c r="AM367" s="83">
        <v>118</v>
      </c>
      <c r="AN367" s="83">
        <v>118</v>
      </c>
      <c r="AO367" s="83">
        <v>118</v>
      </c>
      <c r="AP367" s="83">
        <v>111</v>
      </c>
      <c r="AQ367" s="83">
        <v>122</v>
      </c>
      <c r="AR367" s="83">
        <v>115</v>
      </c>
      <c r="AS367" s="83">
        <v>110</v>
      </c>
      <c r="AT367" s="83">
        <v>108</v>
      </c>
      <c r="AU367" s="83">
        <v>106</v>
      </c>
      <c r="AV367" s="83">
        <v>105</v>
      </c>
      <c r="AW367" s="83">
        <v>103</v>
      </c>
    </row>
    <row r="368" spans="1:49" x14ac:dyDescent="0.15">
      <c r="A368" s="83">
        <v>20201009</v>
      </c>
      <c r="B368" s="83">
        <v>67</v>
      </c>
      <c r="C368" s="83">
        <v>48</v>
      </c>
      <c r="D368" s="83">
        <v>47</v>
      </c>
      <c r="E368" s="83">
        <v>46</v>
      </c>
      <c r="F368" s="83">
        <v>43</v>
      </c>
      <c r="G368" s="83">
        <v>50</v>
      </c>
      <c r="H368" s="83">
        <v>48</v>
      </c>
      <c r="I368" s="83">
        <v>46</v>
      </c>
      <c r="J368" s="83">
        <v>43</v>
      </c>
      <c r="K368" s="83">
        <v>45</v>
      </c>
      <c r="L368" s="83">
        <v>45</v>
      </c>
      <c r="M368" s="83">
        <v>56</v>
      </c>
      <c r="N368" s="83">
        <v>103</v>
      </c>
      <c r="O368" s="83">
        <v>99</v>
      </c>
      <c r="P368" s="83">
        <v>113</v>
      </c>
      <c r="Q368" s="83">
        <v>116</v>
      </c>
      <c r="R368" s="83">
        <v>119</v>
      </c>
      <c r="S368" s="83">
        <v>135</v>
      </c>
      <c r="T368" s="83">
        <v>139</v>
      </c>
      <c r="U368" s="83">
        <v>130</v>
      </c>
      <c r="V368" s="83">
        <v>129</v>
      </c>
      <c r="W368" s="83">
        <v>129</v>
      </c>
      <c r="X368" s="83">
        <v>136</v>
      </c>
      <c r="Y368" s="83">
        <v>136</v>
      </c>
      <c r="Z368" s="83">
        <v>121</v>
      </c>
      <c r="AA368" s="83">
        <v>131</v>
      </c>
      <c r="AB368" s="83">
        <v>129</v>
      </c>
      <c r="AC368" s="83">
        <v>127</v>
      </c>
      <c r="AD368" s="83">
        <v>119</v>
      </c>
      <c r="AE368" s="83">
        <v>130</v>
      </c>
      <c r="AF368" s="83">
        <v>123</v>
      </c>
      <c r="AG368" s="83">
        <v>123</v>
      </c>
      <c r="AH368" s="83">
        <v>119</v>
      </c>
      <c r="AI368" s="83">
        <v>116</v>
      </c>
      <c r="AJ368" s="83">
        <v>119</v>
      </c>
      <c r="AK368" s="83">
        <v>116</v>
      </c>
      <c r="AL368" s="83">
        <v>110</v>
      </c>
      <c r="AM368" s="83">
        <v>121</v>
      </c>
      <c r="AN368" s="83">
        <v>118</v>
      </c>
      <c r="AO368" s="83">
        <v>116</v>
      </c>
      <c r="AP368" s="83">
        <v>111</v>
      </c>
      <c r="AQ368" s="83">
        <v>117</v>
      </c>
      <c r="AR368" s="83">
        <v>116</v>
      </c>
      <c r="AS368" s="83">
        <v>112</v>
      </c>
      <c r="AT368" s="83">
        <v>108</v>
      </c>
      <c r="AU368" s="83">
        <v>109</v>
      </c>
      <c r="AV368" s="83">
        <v>106</v>
      </c>
      <c r="AW368" s="83">
        <v>107</v>
      </c>
    </row>
    <row r="369" spans="1:49" x14ac:dyDescent="0.15">
      <c r="A369" s="83">
        <v>20201010</v>
      </c>
      <c r="B369" s="83">
        <v>76</v>
      </c>
      <c r="C369" s="83">
        <v>51</v>
      </c>
      <c r="D369" s="83">
        <v>50</v>
      </c>
      <c r="E369" s="83">
        <v>47</v>
      </c>
      <c r="F369" s="83">
        <v>46</v>
      </c>
      <c r="G369" s="83">
        <v>52</v>
      </c>
      <c r="H369" s="83">
        <v>49</v>
      </c>
      <c r="I369" s="83">
        <v>49</v>
      </c>
      <c r="J369" s="83">
        <v>46</v>
      </c>
      <c r="K369" s="83">
        <v>46</v>
      </c>
      <c r="L369" s="83">
        <v>49</v>
      </c>
      <c r="M369" s="83">
        <v>59</v>
      </c>
      <c r="N369" s="83">
        <v>109</v>
      </c>
      <c r="O369" s="83">
        <v>103</v>
      </c>
      <c r="P369" s="83">
        <v>114</v>
      </c>
      <c r="Q369" s="83">
        <v>125</v>
      </c>
      <c r="R369" s="83">
        <v>123</v>
      </c>
      <c r="S369" s="83">
        <v>145</v>
      </c>
      <c r="T369" s="83">
        <v>149</v>
      </c>
      <c r="U369" s="83">
        <v>140</v>
      </c>
      <c r="V369" s="83">
        <v>147</v>
      </c>
      <c r="W369" s="83">
        <v>140</v>
      </c>
      <c r="X369" s="83">
        <v>139</v>
      </c>
      <c r="Y369" s="83">
        <v>137</v>
      </c>
      <c r="Z369" s="83">
        <v>129</v>
      </c>
      <c r="AA369" s="83">
        <v>144</v>
      </c>
      <c r="AB369" s="83">
        <v>142</v>
      </c>
      <c r="AC369" s="83">
        <v>141</v>
      </c>
      <c r="AD369" s="83">
        <v>124</v>
      </c>
      <c r="AE369" s="83">
        <v>139</v>
      </c>
      <c r="AF369" s="83">
        <v>138</v>
      </c>
      <c r="AG369" s="83">
        <v>135</v>
      </c>
      <c r="AH369" s="83">
        <v>126</v>
      </c>
      <c r="AI369" s="83">
        <v>126</v>
      </c>
      <c r="AJ369" s="83">
        <v>126</v>
      </c>
      <c r="AK369" s="83">
        <v>127</v>
      </c>
      <c r="AL369" s="83">
        <v>112</v>
      </c>
      <c r="AM369" s="83">
        <v>126</v>
      </c>
      <c r="AN369" s="83">
        <v>119</v>
      </c>
      <c r="AO369" s="83">
        <v>127</v>
      </c>
      <c r="AP369" s="83">
        <v>120</v>
      </c>
      <c r="AQ369" s="83">
        <v>134</v>
      </c>
      <c r="AR369" s="83">
        <v>128</v>
      </c>
      <c r="AS369" s="83">
        <v>117</v>
      </c>
      <c r="AT369" s="83">
        <v>112</v>
      </c>
      <c r="AU369" s="83">
        <v>111</v>
      </c>
      <c r="AV369" s="83">
        <v>110</v>
      </c>
      <c r="AW369" s="83">
        <v>107</v>
      </c>
    </row>
    <row r="370" spans="1:49" x14ac:dyDescent="0.15">
      <c r="A370" s="83">
        <v>20201011</v>
      </c>
      <c r="B370" s="83">
        <v>69</v>
      </c>
      <c r="C370" s="83">
        <v>53</v>
      </c>
      <c r="D370" s="83">
        <v>54</v>
      </c>
      <c r="E370" s="83">
        <v>49</v>
      </c>
      <c r="F370" s="83">
        <v>47</v>
      </c>
      <c r="G370" s="83">
        <v>53</v>
      </c>
      <c r="H370" s="83">
        <v>51</v>
      </c>
      <c r="I370" s="83">
        <v>50</v>
      </c>
      <c r="J370" s="83">
        <v>46</v>
      </c>
      <c r="K370" s="83">
        <v>46</v>
      </c>
      <c r="L370" s="83">
        <v>50</v>
      </c>
      <c r="M370" s="83">
        <v>59</v>
      </c>
      <c r="N370" s="83">
        <v>105</v>
      </c>
      <c r="O370" s="83">
        <v>95</v>
      </c>
      <c r="P370" s="83">
        <v>108</v>
      </c>
      <c r="Q370" s="83">
        <v>107</v>
      </c>
      <c r="R370" s="83">
        <v>114</v>
      </c>
      <c r="S370" s="83">
        <v>132</v>
      </c>
      <c r="T370" s="83">
        <v>142</v>
      </c>
      <c r="U370" s="83">
        <v>143</v>
      </c>
      <c r="V370" s="83">
        <v>146</v>
      </c>
      <c r="W370" s="83">
        <v>145</v>
      </c>
      <c r="X370" s="83">
        <v>145</v>
      </c>
      <c r="Y370" s="83">
        <v>147</v>
      </c>
      <c r="Z370" s="83">
        <v>137</v>
      </c>
      <c r="AA370" s="83">
        <v>151</v>
      </c>
      <c r="AB370" s="83">
        <v>150</v>
      </c>
      <c r="AC370" s="83">
        <v>152</v>
      </c>
      <c r="AD370" s="83">
        <v>142</v>
      </c>
      <c r="AE370" s="83">
        <v>155</v>
      </c>
      <c r="AF370" s="83">
        <v>154</v>
      </c>
      <c r="AG370" s="83">
        <v>149</v>
      </c>
      <c r="AH370" s="83">
        <v>141</v>
      </c>
      <c r="AI370" s="83">
        <v>139</v>
      </c>
      <c r="AJ370" s="83">
        <v>136</v>
      </c>
      <c r="AK370" s="83">
        <v>132</v>
      </c>
      <c r="AL370" s="83">
        <v>118</v>
      </c>
      <c r="AM370" s="83">
        <v>124</v>
      </c>
      <c r="AN370" s="83">
        <v>123</v>
      </c>
      <c r="AO370" s="83">
        <v>122</v>
      </c>
      <c r="AP370" s="83">
        <v>113</v>
      </c>
      <c r="AQ370" s="83">
        <v>127</v>
      </c>
      <c r="AR370" s="83">
        <v>124</v>
      </c>
      <c r="AS370" s="83">
        <v>118</v>
      </c>
      <c r="AT370" s="83">
        <v>109</v>
      </c>
      <c r="AU370" s="83">
        <v>104</v>
      </c>
      <c r="AV370" s="83">
        <v>100</v>
      </c>
      <c r="AW370" s="83">
        <v>101</v>
      </c>
    </row>
    <row r="371" spans="1:49" x14ac:dyDescent="0.15">
      <c r="A371" s="83">
        <v>20201012</v>
      </c>
      <c r="B371" s="83">
        <v>69</v>
      </c>
      <c r="C371" s="83">
        <v>54</v>
      </c>
      <c r="D371" s="83">
        <v>53</v>
      </c>
      <c r="E371" s="83">
        <v>48</v>
      </c>
      <c r="F371" s="83">
        <v>48</v>
      </c>
      <c r="G371" s="83">
        <v>53</v>
      </c>
      <c r="H371" s="83">
        <v>51</v>
      </c>
      <c r="I371" s="83">
        <v>50</v>
      </c>
      <c r="J371" s="83">
        <v>46</v>
      </c>
      <c r="K371" s="83">
        <v>47</v>
      </c>
      <c r="L371" s="83">
        <v>53</v>
      </c>
      <c r="M371" s="83">
        <v>61</v>
      </c>
      <c r="N371" s="83">
        <v>99</v>
      </c>
      <c r="O371" s="83">
        <v>90</v>
      </c>
      <c r="P371" s="83">
        <v>101</v>
      </c>
      <c r="Q371" s="83">
        <v>106</v>
      </c>
      <c r="R371" s="83">
        <v>115</v>
      </c>
      <c r="S371" s="83">
        <v>131</v>
      </c>
      <c r="T371" s="83">
        <v>138</v>
      </c>
      <c r="U371" s="83">
        <v>139</v>
      </c>
      <c r="V371" s="83">
        <v>135</v>
      </c>
      <c r="W371" s="83">
        <v>136</v>
      </c>
      <c r="X371" s="83">
        <v>138</v>
      </c>
      <c r="Y371" s="83">
        <v>136</v>
      </c>
      <c r="Z371" s="83">
        <v>128</v>
      </c>
      <c r="AA371" s="83">
        <v>142</v>
      </c>
      <c r="AB371" s="83">
        <v>135</v>
      </c>
      <c r="AC371" s="83">
        <v>134</v>
      </c>
      <c r="AD371" s="83">
        <v>124</v>
      </c>
      <c r="AE371" s="83">
        <v>142</v>
      </c>
      <c r="AF371" s="83">
        <v>134</v>
      </c>
      <c r="AG371" s="83">
        <v>134</v>
      </c>
      <c r="AH371" s="83">
        <v>130</v>
      </c>
      <c r="AI371" s="83">
        <v>129</v>
      </c>
      <c r="AJ371" s="83">
        <v>125</v>
      </c>
      <c r="AK371" s="83">
        <v>129</v>
      </c>
      <c r="AL371" s="83">
        <v>111</v>
      </c>
      <c r="AM371" s="83">
        <v>130</v>
      </c>
      <c r="AN371" s="83">
        <v>122</v>
      </c>
      <c r="AO371" s="83">
        <v>123</v>
      </c>
      <c r="AP371" s="83">
        <v>115</v>
      </c>
      <c r="AQ371" s="83">
        <v>120</v>
      </c>
      <c r="AR371" s="83">
        <v>119</v>
      </c>
      <c r="AS371" s="83">
        <v>110</v>
      </c>
      <c r="AT371" s="83">
        <v>104</v>
      </c>
      <c r="AU371" s="83">
        <v>103</v>
      </c>
      <c r="AV371" s="83">
        <v>99</v>
      </c>
      <c r="AW371" s="83">
        <v>99</v>
      </c>
    </row>
    <row r="372" spans="1:49" x14ac:dyDescent="0.15">
      <c r="A372" s="83">
        <v>20201013</v>
      </c>
      <c r="B372" s="83">
        <v>71</v>
      </c>
      <c r="C372" s="83">
        <v>54</v>
      </c>
      <c r="D372" s="83">
        <v>52</v>
      </c>
      <c r="E372" s="83">
        <v>51</v>
      </c>
      <c r="F372" s="83">
        <v>48</v>
      </c>
      <c r="G372" s="83">
        <v>56</v>
      </c>
      <c r="H372" s="83">
        <v>51</v>
      </c>
      <c r="I372" s="83">
        <v>52</v>
      </c>
      <c r="J372" s="83">
        <v>47</v>
      </c>
      <c r="K372" s="83">
        <v>47</v>
      </c>
      <c r="L372" s="83">
        <v>50</v>
      </c>
      <c r="M372" s="83">
        <v>60</v>
      </c>
      <c r="N372" s="83">
        <v>107</v>
      </c>
      <c r="O372" s="83">
        <v>110</v>
      </c>
      <c r="P372" s="83">
        <v>115</v>
      </c>
      <c r="Q372" s="83">
        <v>122</v>
      </c>
      <c r="R372" s="83">
        <v>123</v>
      </c>
      <c r="S372" s="83">
        <v>142</v>
      </c>
      <c r="T372" s="83">
        <v>139</v>
      </c>
      <c r="U372" s="83">
        <v>140</v>
      </c>
      <c r="V372" s="83">
        <v>133</v>
      </c>
      <c r="W372" s="83">
        <v>135</v>
      </c>
      <c r="X372" s="83">
        <v>134</v>
      </c>
      <c r="Y372" s="83">
        <v>137</v>
      </c>
      <c r="Z372" s="83">
        <v>132</v>
      </c>
      <c r="AA372" s="83">
        <v>139</v>
      </c>
      <c r="AB372" s="83">
        <v>140</v>
      </c>
      <c r="AC372" s="83">
        <v>136</v>
      </c>
      <c r="AD372" s="83">
        <v>126</v>
      </c>
      <c r="AE372" s="83">
        <v>139</v>
      </c>
      <c r="AF372" s="83">
        <v>131</v>
      </c>
      <c r="AG372" s="83">
        <v>125</v>
      </c>
      <c r="AH372" s="83">
        <v>120</v>
      </c>
      <c r="AI372" s="83">
        <v>123</v>
      </c>
      <c r="AJ372" s="83">
        <v>121</v>
      </c>
      <c r="AK372" s="83">
        <v>122</v>
      </c>
      <c r="AL372" s="83">
        <v>111</v>
      </c>
      <c r="AM372" s="83">
        <v>123</v>
      </c>
      <c r="AN372" s="83">
        <v>109</v>
      </c>
      <c r="AO372" s="83">
        <v>113</v>
      </c>
      <c r="AP372" s="83">
        <v>107</v>
      </c>
      <c r="AQ372" s="83">
        <v>116</v>
      </c>
      <c r="AR372" s="83">
        <v>115</v>
      </c>
      <c r="AS372" s="83">
        <v>112</v>
      </c>
      <c r="AT372" s="83">
        <v>108</v>
      </c>
      <c r="AU372" s="83">
        <v>105</v>
      </c>
      <c r="AV372" s="83">
        <v>93</v>
      </c>
      <c r="AW372" s="83">
        <v>93</v>
      </c>
    </row>
    <row r="373" spans="1:49" x14ac:dyDescent="0.15">
      <c r="A373" s="83">
        <v>20201014</v>
      </c>
      <c r="B373" s="83">
        <v>69</v>
      </c>
      <c r="C373" s="83">
        <v>52</v>
      </c>
      <c r="D373" s="83">
        <v>51</v>
      </c>
      <c r="E373" s="83">
        <v>48</v>
      </c>
      <c r="F373" s="83">
        <v>47</v>
      </c>
      <c r="G373" s="83">
        <v>53</v>
      </c>
      <c r="H373" s="83">
        <v>49</v>
      </c>
      <c r="I373" s="83">
        <v>49</v>
      </c>
      <c r="J373" s="83">
        <v>45</v>
      </c>
      <c r="K373" s="83">
        <v>44</v>
      </c>
      <c r="L373" s="83">
        <v>49</v>
      </c>
      <c r="M373" s="83">
        <v>58</v>
      </c>
      <c r="N373" s="83">
        <v>100</v>
      </c>
      <c r="O373" s="83">
        <v>94</v>
      </c>
      <c r="P373" s="83">
        <v>104</v>
      </c>
      <c r="Q373" s="83">
        <v>116</v>
      </c>
      <c r="R373" s="83">
        <v>115</v>
      </c>
      <c r="S373" s="83">
        <v>136</v>
      </c>
      <c r="T373" s="83">
        <v>139</v>
      </c>
      <c r="U373" s="83">
        <v>131</v>
      </c>
      <c r="V373" s="83">
        <v>131</v>
      </c>
      <c r="W373" s="83">
        <v>137</v>
      </c>
      <c r="X373" s="83">
        <v>133</v>
      </c>
      <c r="Y373" s="83">
        <v>132</v>
      </c>
      <c r="Z373" s="83">
        <v>127</v>
      </c>
      <c r="AA373" s="83">
        <v>131</v>
      </c>
      <c r="AB373" s="83">
        <v>126</v>
      </c>
      <c r="AC373" s="83">
        <v>125</v>
      </c>
      <c r="AD373" s="83">
        <v>122</v>
      </c>
      <c r="AE373" s="83">
        <v>132</v>
      </c>
      <c r="AF373" s="83">
        <v>128</v>
      </c>
      <c r="AG373" s="83">
        <v>117</v>
      </c>
      <c r="AH373" s="83">
        <v>116</v>
      </c>
      <c r="AI373" s="83">
        <v>117</v>
      </c>
      <c r="AJ373" s="83">
        <v>114</v>
      </c>
      <c r="AK373" s="83">
        <v>112</v>
      </c>
      <c r="AL373" s="83">
        <v>104</v>
      </c>
      <c r="AM373" s="83">
        <v>116</v>
      </c>
      <c r="AN373" s="83">
        <v>111</v>
      </c>
      <c r="AO373" s="83">
        <v>112</v>
      </c>
      <c r="AP373" s="83">
        <v>104</v>
      </c>
      <c r="AQ373" s="83">
        <v>110</v>
      </c>
      <c r="AR373" s="83">
        <v>110</v>
      </c>
      <c r="AS373" s="83">
        <v>104</v>
      </c>
      <c r="AT373" s="83">
        <v>100</v>
      </c>
      <c r="AU373" s="83">
        <v>99</v>
      </c>
      <c r="AV373" s="83">
        <v>99</v>
      </c>
      <c r="AW373" s="83">
        <v>97</v>
      </c>
    </row>
    <row r="374" spans="1:49" x14ac:dyDescent="0.15">
      <c r="A374" s="83">
        <v>20201015</v>
      </c>
      <c r="B374" s="83">
        <v>65</v>
      </c>
      <c r="C374" s="83">
        <v>48</v>
      </c>
      <c r="D374" s="83">
        <v>48</v>
      </c>
      <c r="E374" s="83">
        <v>45</v>
      </c>
      <c r="F374" s="83">
        <v>44</v>
      </c>
      <c r="G374" s="83">
        <v>50</v>
      </c>
      <c r="H374" s="83">
        <v>48</v>
      </c>
      <c r="I374" s="83">
        <v>46</v>
      </c>
      <c r="J374" s="83">
        <v>43</v>
      </c>
      <c r="K374" s="83">
        <v>43</v>
      </c>
      <c r="L374" s="83">
        <v>44</v>
      </c>
      <c r="M374" s="83">
        <v>54</v>
      </c>
      <c r="N374" s="83">
        <v>105</v>
      </c>
      <c r="O374" s="83">
        <v>99</v>
      </c>
      <c r="P374" s="83">
        <v>113</v>
      </c>
      <c r="Q374" s="83">
        <v>112</v>
      </c>
      <c r="R374" s="83">
        <v>116</v>
      </c>
      <c r="S374" s="83">
        <v>132</v>
      </c>
      <c r="T374" s="83">
        <v>133</v>
      </c>
      <c r="U374" s="83">
        <v>127</v>
      </c>
      <c r="V374" s="83">
        <v>126</v>
      </c>
      <c r="W374" s="83">
        <v>124</v>
      </c>
      <c r="X374" s="83">
        <v>126</v>
      </c>
      <c r="Y374" s="83">
        <v>129</v>
      </c>
      <c r="Z374" s="83">
        <v>124</v>
      </c>
      <c r="AA374" s="83">
        <v>133</v>
      </c>
      <c r="AB374" s="83">
        <v>128</v>
      </c>
      <c r="AC374" s="83">
        <v>134</v>
      </c>
      <c r="AD374" s="83">
        <v>117</v>
      </c>
      <c r="AE374" s="83">
        <v>134</v>
      </c>
      <c r="AF374" s="83">
        <v>127</v>
      </c>
      <c r="AG374" s="83">
        <v>127</v>
      </c>
      <c r="AH374" s="83">
        <v>119</v>
      </c>
      <c r="AI374" s="83">
        <v>119</v>
      </c>
      <c r="AJ374" s="83">
        <v>117</v>
      </c>
      <c r="AK374" s="83">
        <v>116</v>
      </c>
      <c r="AL374" s="83">
        <v>105</v>
      </c>
      <c r="AM374" s="83">
        <v>113</v>
      </c>
      <c r="AN374" s="83">
        <v>112</v>
      </c>
      <c r="AO374" s="83">
        <v>115</v>
      </c>
      <c r="AP374" s="83">
        <v>108</v>
      </c>
      <c r="AQ374" s="83">
        <v>114</v>
      </c>
      <c r="AR374" s="83">
        <v>109</v>
      </c>
      <c r="AS374" s="83">
        <v>105</v>
      </c>
      <c r="AT374" s="83">
        <v>100</v>
      </c>
      <c r="AU374" s="83">
        <v>98</v>
      </c>
      <c r="AV374" s="83">
        <v>100</v>
      </c>
      <c r="AW374" s="83">
        <v>89</v>
      </c>
    </row>
    <row r="375" spans="1:49" x14ac:dyDescent="0.15">
      <c r="A375" s="83">
        <v>20201016</v>
      </c>
      <c r="B375" s="83">
        <v>61</v>
      </c>
      <c r="C375" s="83">
        <v>43</v>
      </c>
      <c r="D375" s="83">
        <v>42</v>
      </c>
      <c r="E375" s="83">
        <v>39</v>
      </c>
      <c r="F375" s="83">
        <v>40</v>
      </c>
      <c r="G375" s="83">
        <v>44</v>
      </c>
      <c r="H375" s="83">
        <v>41</v>
      </c>
      <c r="I375" s="83">
        <v>40</v>
      </c>
      <c r="J375" s="83">
        <v>36</v>
      </c>
      <c r="K375" s="83">
        <v>37</v>
      </c>
      <c r="L375" s="83">
        <v>38</v>
      </c>
      <c r="M375" s="83">
        <v>50</v>
      </c>
      <c r="N375" s="83">
        <v>99</v>
      </c>
      <c r="O375" s="83">
        <v>86</v>
      </c>
      <c r="P375" s="83">
        <v>101</v>
      </c>
      <c r="Q375" s="83">
        <v>116</v>
      </c>
      <c r="R375" s="83">
        <v>114</v>
      </c>
      <c r="S375" s="83">
        <v>121</v>
      </c>
      <c r="T375" s="83">
        <v>132</v>
      </c>
      <c r="U375" s="83">
        <v>132</v>
      </c>
      <c r="V375" s="83">
        <v>126</v>
      </c>
      <c r="W375" s="83">
        <v>124</v>
      </c>
      <c r="X375" s="83">
        <v>129</v>
      </c>
      <c r="Y375" s="83">
        <v>128</v>
      </c>
      <c r="Z375" s="83">
        <v>126</v>
      </c>
      <c r="AA375" s="83">
        <v>132</v>
      </c>
      <c r="AB375" s="83">
        <v>131</v>
      </c>
      <c r="AC375" s="83">
        <v>128</v>
      </c>
      <c r="AD375" s="83">
        <v>119</v>
      </c>
      <c r="AE375" s="83">
        <v>133</v>
      </c>
      <c r="AF375" s="83">
        <v>126</v>
      </c>
      <c r="AG375" s="83">
        <v>121</v>
      </c>
      <c r="AH375" s="83">
        <v>117</v>
      </c>
      <c r="AI375" s="83">
        <v>121</v>
      </c>
      <c r="AJ375" s="83">
        <v>120</v>
      </c>
      <c r="AK375" s="83">
        <v>114</v>
      </c>
      <c r="AL375" s="83">
        <v>106</v>
      </c>
      <c r="AM375" s="83">
        <v>118</v>
      </c>
      <c r="AN375" s="83">
        <v>113</v>
      </c>
      <c r="AO375" s="83">
        <v>112</v>
      </c>
      <c r="AP375" s="83">
        <v>111</v>
      </c>
      <c r="AQ375" s="83">
        <v>113</v>
      </c>
      <c r="AR375" s="83">
        <v>111</v>
      </c>
      <c r="AS375" s="83">
        <v>108</v>
      </c>
      <c r="AT375" s="83">
        <v>104</v>
      </c>
      <c r="AU375" s="83">
        <v>104</v>
      </c>
      <c r="AV375" s="83">
        <v>102</v>
      </c>
      <c r="AW375" s="83">
        <v>91</v>
      </c>
    </row>
    <row r="376" spans="1:49" x14ac:dyDescent="0.15">
      <c r="A376" s="83">
        <v>20201017</v>
      </c>
      <c r="B376" s="83">
        <v>64</v>
      </c>
      <c r="C376" s="83">
        <v>47</v>
      </c>
      <c r="D376" s="83">
        <v>46</v>
      </c>
      <c r="E376" s="83">
        <v>42</v>
      </c>
      <c r="F376" s="83">
        <v>41</v>
      </c>
      <c r="G376" s="83">
        <v>47</v>
      </c>
      <c r="H376" s="83">
        <v>44</v>
      </c>
      <c r="I376" s="83">
        <v>44</v>
      </c>
      <c r="J376" s="83">
        <v>41</v>
      </c>
      <c r="K376" s="83">
        <v>40</v>
      </c>
      <c r="L376" s="83">
        <v>42</v>
      </c>
      <c r="M376" s="83">
        <v>55</v>
      </c>
      <c r="N376" s="83">
        <v>97</v>
      </c>
      <c r="O376" s="83">
        <v>90</v>
      </c>
      <c r="P376" s="83">
        <v>106</v>
      </c>
      <c r="Q376" s="83">
        <v>111</v>
      </c>
      <c r="R376" s="83">
        <v>114</v>
      </c>
      <c r="S376" s="83">
        <v>132</v>
      </c>
      <c r="T376" s="83">
        <v>134</v>
      </c>
      <c r="U376" s="83">
        <v>131</v>
      </c>
      <c r="V376" s="83">
        <v>125</v>
      </c>
      <c r="W376" s="83">
        <v>125</v>
      </c>
      <c r="X376" s="83">
        <v>120</v>
      </c>
      <c r="Y376" s="83">
        <v>121</v>
      </c>
      <c r="Z376" s="83">
        <v>125</v>
      </c>
      <c r="AA376" s="83">
        <v>126</v>
      </c>
      <c r="AB376" s="83">
        <v>127</v>
      </c>
      <c r="AC376" s="83">
        <v>123</v>
      </c>
      <c r="AD376" s="83">
        <v>117</v>
      </c>
      <c r="AE376" s="83">
        <v>123</v>
      </c>
      <c r="AF376" s="83">
        <v>124</v>
      </c>
      <c r="AG376" s="83">
        <v>116</v>
      </c>
      <c r="AH376" s="83">
        <v>120</v>
      </c>
      <c r="AI376" s="83">
        <v>115</v>
      </c>
      <c r="AJ376" s="83">
        <v>116</v>
      </c>
      <c r="AK376" s="83">
        <v>110</v>
      </c>
      <c r="AL376" s="83">
        <v>102</v>
      </c>
      <c r="AM376" s="83">
        <v>118</v>
      </c>
      <c r="AN376" s="83">
        <v>112</v>
      </c>
      <c r="AO376" s="83">
        <v>111</v>
      </c>
      <c r="AP376" s="83">
        <v>106</v>
      </c>
      <c r="AQ376" s="83">
        <v>117</v>
      </c>
      <c r="AR376" s="83">
        <v>113</v>
      </c>
      <c r="AS376" s="83">
        <v>108</v>
      </c>
      <c r="AT376" s="83">
        <v>103</v>
      </c>
      <c r="AU376" s="83">
        <v>101</v>
      </c>
      <c r="AV376" s="83">
        <v>99</v>
      </c>
      <c r="AW376" s="83">
        <v>89</v>
      </c>
    </row>
    <row r="377" spans="1:49" x14ac:dyDescent="0.15">
      <c r="A377" s="83">
        <v>20201018</v>
      </c>
      <c r="B377" s="83">
        <v>61</v>
      </c>
      <c r="C377" s="83">
        <v>44</v>
      </c>
      <c r="D377" s="83">
        <v>43</v>
      </c>
      <c r="E377" s="83">
        <v>40</v>
      </c>
      <c r="F377" s="83">
        <v>40</v>
      </c>
      <c r="G377" s="83">
        <v>44</v>
      </c>
      <c r="H377" s="83">
        <v>43</v>
      </c>
      <c r="I377" s="83">
        <v>41</v>
      </c>
      <c r="J377" s="83">
        <v>39</v>
      </c>
      <c r="K377" s="83">
        <v>39</v>
      </c>
      <c r="L377" s="83">
        <v>41</v>
      </c>
      <c r="M377" s="83">
        <v>52</v>
      </c>
      <c r="N377" s="83">
        <v>102</v>
      </c>
      <c r="O377" s="83">
        <v>93</v>
      </c>
      <c r="P377" s="83">
        <v>107</v>
      </c>
      <c r="Q377" s="83">
        <v>119</v>
      </c>
      <c r="R377" s="83">
        <v>119</v>
      </c>
      <c r="S377" s="83">
        <v>128</v>
      </c>
      <c r="T377" s="83">
        <v>138</v>
      </c>
      <c r="U377" s="83">
        <v>135</v>
      </c>
      <c r="V377" s="83">
        <v>125</v>
      </c>
      <c r="W377" s="83">
        <v>131</v>
      </c>
      <c r="X377" s="83">
        <v>130</v>
      </c>
      <c r="Y377" s="83">
        <v>132</v>
      </c>
      <c r="Z377" s="83">
        <v>124</v>
      </c>
      <c r="AA377" s="83">
        <v>135</v>
      </c>
      <c r="AB377" s="83">
        <v>130</v>
      </c>
      <c r="AC377" s="83">
        <v>131</v>
      </c>
      <c r="AD377" s="83">
        <v>130</v>
      </c>
      <c r="AE377" s="83">
        <v>137</v>
      </c>
      <c r="AF377" s="83">
        <v>133</v>
      </c>
      <c r="AG377" s="83">
        <v>127</v>
      </c>
      <c r="AH377" s="83">
        <v>121</v>
      </c>
      <c r="AI377" s="83">
        <v>120</v>
      </c>
      <c r="AJ377" s="83">
        <v>122</v>
      </c>
      <c r="AK377" s="83">
        <v>114</v>
      </c>
      <c r="AL377" s="83">
        <v>109</v>
      </c>
      <c r="AM377" s="83">
        <v>118</v>
      </c>
      <c r="AN377" s="83">
        <v>111</v>
      </c>
      <c r="AO377" s="83">
        <v>114</v>
      </c>
      <c r="AP377" s="83">
        <v>113</v>
      </c>
      <c r="AQ377" s="83">
        <v>121</v>
      </c>
      <c r="AR377" s="83">
        <v>118</v>
      </c>
      <c r="AS377" s="83">
        <v>110</v>
      </c>
      <c r="AT377" s="83">
        <v>106</v>
      </c>
      <c r="AU377" s="83">
        <v>103</v>
      </c>
      <c r="AV377" s="83">
        <v>100</v>
      </c>
      <c r="AW377" s="83">
        <v>100</v>
      </c>
    </row>
    <row r="378" spans="1:49" x14ac:dyDescent="0.15">
      <c r="A378" s="83">
        <v>20201019</v>
      </c>
      <c r="B378" s="83">
        <v>65</v>
      </c>
      <c r="C378" s="83">
        <v>46</v>
      </c>
      <c r="D378" s="83">
        <v>45</v>
      </c>
      <c r="E378" s="83">
        <v>41</v>
      </c>
      <c r="F378" s="83">
        <v>41</v>
      </c>
      <c r="G378" s="83">
        <v>47</v>
      </c>
      <c r="H378" s="83">
        <v>45</v>
      </c>
      <c r="I378" s="83">
        <v>44</v>
      </c>
      <c r="J378" s="83">
        <v>42</v>
      </c>
      <c r="K378" s="83">
        <v>42</v>
      </c>
      <c r="L378" s="83">
        <v>45</v>
      </c>
      <c r="M378" s="83">
        <v>54</v>
      </c>
      <c r="N378" s="83">
        <v>104</v>
      </c>
      <c r="O378" s="83">
        <v>98</v>
      </c>
      <c r="P378" s="83">
        <v>109</v>
      </c>
      <c r="Q378" s="83">
        <v>117</v>
      </c>
      <c r="R378" s="83">
        <v>114</v>
      </c>
      <c r="S378" s="83">
        <v>131</v>
      </c>
      <c r="T378" s="83">
        <v>136</v>
      </c>
      <c r="U378" s="83">
        <v>127</v>
      </c>
      <c r="V378" s="83">
        <v>119</v>
      </c>
      <c r="W378" s="83">
        <v>125</v>
      </c>
      <c r="X378" s="83">
        <v>128</v>
      </c>
      <c r="Y378" s="83">
        <v>123</v>
      </c>
      <c r="Z378" s="83">
        <v>122</v>
      </c>
      <c r="AA378" s="83">
        <v>130</v>
      </c>
      <c r="AB378" s="83">
        <v>119</v>
      </c>
      <c r="AC378" s="83">
        <v>122</v>
      </c>
      <c r="AD378" s="83">
        <v>115</v>
      </c>
      <c r="AE378" s="83">
        <v>122</v>
      </c>
      <c r="AF378" s="83">
        <v>120</v>
      </c>
      <c r="AG378" s="83">
        <v>118</v>
      </c>
      <c r="AH378" s="83">
        <v>111</v>
      </c>
      <c r="AI378" s="83">
        <v>113</v>
      </c>
      <c r="AJ378" s="83">
        <v>110</v>
      </c>
      <c r="AK378" s="83">
        <v>111</v>
      </c>
      <c r="AL378" s="83">
        <v>104</v>
      </c>
      <c r="AM378" s="83">
        <v>116</v>
      </c>
      <c r="AN378" s="83">
        <v>111</v>
      </c>
      <c r="AO378" s="83">
        <v>114</v>
      </c>
      <c r="AP378" s="83">
        <v>107</v>
      </c>
      <c r="AQ378" s="83">
        <v>113</v>
      </c>
      <c r="AR378" s="83">
        <v>112</v>
      </c>
      <c r="AS378" s="83">
        <v>108</v>
      </c>
      <c r="AT378" s="83">
        <v>104</v>
      </c>
      <c r="AU378" s="83">
        <v>103</v>
      </c>
      <c r="AV378" s="83">
        <v>100</v>
      </c>
      <c r="AW378" s="83">
        <v>97</v>
      </c>
    </row>
    <row r="379" spans="1:49" x14ac:dyDescent="0.15">
      <c r="A379" s="83">
        <v>20201020</v>
      </c>
      <c r="B379" s="83">
        <v>60</v>
      </c>
      <c r="C379" s="83">
        <v>45</v>
      </c>
      <c r="D379" s="83">
        <v>43</v>
      </c>
      <c r="E379" s="83">
        <v>42</v>
      </c>
      <c r="F379" s="83">
        <v>40</v>
      </c>
      <c r="G379" s="83">
        <v>46</v>
      </c>
      <c r="H379" s="83">
        <v>45</v>
      </c>
      <c r="I379" s="83">
        <v>43</v>
      </c>
      <c r="J379" s="83">
        <v>40</v>
      </c>
      <c r="K379" s="83">
        <v>38</v>
      </c>
      <c r="L379" s="83">
        <v>40</v>
      </c>
      <c r="M379" s="83">
        <v>53</v>
      </c>
      <c r="N379" s="83">
        <v>103</v>
      </c>
      <c r="O379" s="83">
        <v>94</v>
      </c>
      <c r="P379" s="83">
        <v>106</v>
      </c>
      <c r="Q379" s="83">
        <v>113</v>
      </c>
      <c r="R379" s="83">
        <v>116</v>
      </c>
      <c r="S379" s="83">
        <v>131</v>
      </c>
      <c r="T379" s="83">
        <v>134</v>
      </c>
      <c r="U379" s="83">
        <v>133</v>
      </c>
      <c r="V379" s="83">
        <v>126</v>
      </c>
      <c r="W379" s="83">
        <v>133</v>
      </c>
      <c r="X379" s="83">
        <v>134</v>
      </c>
      <c r="Y379" s="83">
        <v>141</v>
      </c>
      <c r="Z379" s="83">
        <v>130</v>
      </c>
      <c r="AA379" s="83">
        <v>144</v>
      </c>
      <c r="AB379" s="83">
        <v>134</v>
      </c>
      <c r="AC379" s="83">
        <v>129</v>
      </c>
      <c r="AD379" s="83">
        <v>122</v>
      </c>
      <c r="AE379" s="83">
        <v>132</v>
      </c>
      <c r="AF379" s="83">
        <v>129</v>
      </c>
      <c r="AG379" s="83">
        <v>122</v>
      </c>
      <c r="AH379" s="83">
        <v>118</v>
      </c>
      <c r="AI379" s="83">
        <v>121</v>
      </c>
      <c r="AJ379" s="83">
        <v>122</v>
      </c>
      <c r="AK379" s="83">
        <v>120</v>
      </c>
      <c r="AL379" s="83">
        <v>106</v>
      </c>
      <c r="AM379" s="83">
        <v>113</v>
      </c>
      <c r="AN379" s="83">
        <v>112</v>
      </c>
      <c r="AO379" s="83">
        <v>110</v>
      </c>
      <c r="AP379" s="83">
        <v>104</v>
      </c>
      <c r="AQ379" s="83">
        <v>110</v>
      </c>
      <c r="AR379" s="83">
        <v>107</v>
      </c>
      <c r="AS379" s="83">
        <v>102</v>
      </c>
      <c r="AT379" s="83">
        <v>99</v>
      </c>
      <c r="AU379" s="83">
        <v>97</v>
      </c>
      <c r="AV379" s="83">
        <v>95</v>
      </c>
      <c r="AW379" s="83">
        <v>95</v>
      </c>
    </row>
    <row r="380" spans="1:49" x14ac:dyDescent="0.15">
      <c r="A380" s="83">
        <v>20201021</v>
      </c>
      <c r="B380" s="83">
        <v>64</v>
      </c>
      <c r="C380" s="83">
        <v>43</v>
      </c>
      <c r="D380" s="83">
        <v>42</v>
      </c>
      <c r="E380" s="83">
        <v>40</v>
      </c>
      <c r="F380" s="83">
        <v>39</v>
      </c>
      <c r="G380" s="83">
        <v>45</v>
      </c>
      <c r="H380" s="83">
        <v>42</v>
      </c>
      <c r="I380" s="83">
        <v>41</v>
      </c>
      <c r="J380" s="83">
        <v>38</v>
      </c>
      <c r="K380" s="83">
        <v>39</v>
      </c>
      <c r="L380" s="83">
        <v>41</v>
      </c>
      <c r="M380" s="83">
        <v>59</v>
      </c>
      <c r="N380" s="83">
        <v>88</v>
      </c>
      <c r="O380" s="83">
        <v>75</v>
      </c>
      <c r="P380" s="83">
        <v>93</v>
      </c>
      <c r="Q380" s="83">
        <v>98</v>
      </c>
      <c r="R380" s="83">
        <v>102</v>
      </c>
      <c r="S380" s="83">
        <v>108</v>
      </c>
      <c r="T380" s="83">
        <v>124</v>
      </c>
      <c r="U380" s="83">
        <v>123</v>
      </c>
      <c r="V380" s="83">
        <v>123</v>
      </c>
      <c r="W380" s="83">
        <v>127</v>
      </c>
      <c r="X380" s="83">
        <v>126</v>
      </c>
      <c r="Y380" s="83">
        <v>126</v>
      </c>
      <c r="Z380" s="83">
        <v>125</v>
      </c>
      <c r="AA380" s="83">
        <v>134</v>
      </c>
      <c r="AB380" s="83">
        <v>128</v>
      </c>
      <c r="AC380" s="83">
        <v>126</v>
      </c>
      <c r="AD380" s="83">
        <v>116</v>
      </c>
      <c r="AE380" s="83">
        <v>132</v>
      </c>
      <c r="AF380" s="83">
        <v>128</v>
      </c>
      <c r="AG380" s="83">
        <v>122</v>
      </c>
      <c r="AH380" s="83">
        <v>111</v>
      </c>
      <c r="AI380" s="83">
        <v>114</v>
      </c>
      <c r="AJ380" s="83">
        <v>108</v>
      </c>
      <c r="AK380" s="83">
        <v>111</v>
      </c>
      <c r="AL380" s="83">
        <v>107</v>
      </c>
      <c r="AM380" s="83">
        <v>121</v>
      </c>
      <c r="AN380" s="83">
        <v>111</v>
      </c>
      <c r="AO380" s="83">
        <v>108</v>
      </c>
      <c r="AP380" s="83">
        <v>104</v>
      </c>
      <c r="AQ380" s="83">
        <v>110</v>
      </c>
      <c r="AR380" s="83">
        <v>112</v>
      </c>
      <c r="AS380" s="83">
        <v>104</v>
      </c>
      <c r="AT380" s="83">
        <v>105</v>
      </c>
      <c r="AU380" s="83">
        <v>103</v>
      </c>
      <c r="AV380" s="83">
        <v>101</v>
      </c>
      <c r="AW380" s="83">
        <v>100</v>
      </c>
    </row>
    <row r="381" spans="1:49" x14ac:dyDescent="0.15">
      <c r="A381" s="83">
        <v>20201022</v>
      </c>
      <c r="B381" s="83">
        <v>68</v>
      </c>
      <c r="C381" s="83">
        <v>48</v>
      </c>
      <c r="D381" s="83">
        <v>47</v>
      </c>
      <c r="E381" s="83">
        <v>45</v>
      </c>
      <c r="F381" s="83">
        <v>44</v>
      </c>
      <c r="G381" s="83">
        <v>48</v>
      </c>
      <c r="H381" s="83">
        <v>48</v>
      </c>
      <c r="I381" s="83">
        <v>46</v>
      </c>
      <c r="J381" s="83">
        <v>44</v>
      </c>
      <c r="K381" s="83">
        <v>43</v>
      </c>
      <c r="L381" s="83">
        <v>43</v>
      </c>
      <c r="M381" s="83">
        <v>56</v>
      </c>
      <c r="N381" s="83">
        <v>100</v>
      </c>
      <c r="O381" s="83">
        <v>92</v>
      </c>
      <c r="P381" s="83">
        <v>110</v>
      </c>
      <c r="Q381" s="83">
        <v>109</v>
      </c>
      <c r="R381" s="83">
        <v>115</v>
      </c>
      <c r="S381" s="83">
        <v>135</v>
      </c>
      <c r="T381" s="83">
        <v>128</v>
      </c>
      <c r="U381" s="83">
        <v>119</v>
      </c>
      <c r="V381" s="83">
        <v>125</v>
      </c>
      <c r="W381" s="83">
        <v>126</v>
      </c>
      <c r="X381" s="83">
        <v>128</v>
      </c>
      <c r="Y381" s="83">
        <v>125</v>
      </c>
      <c r="Z381" s="83">
        <v>122</v>
      </c>
      <c r="AA381" s="83">
        <v>128</v>
      </c>
      <c r="AB381" s="83">
        <v>119</v>
      </c>
      <c r="AC381" s="83">
        <v>126</v>
      </c>
      <c r="AD381" s="83">
        <v>118</v>
      </c>
      <c r="AE381" s="83">
        <v>131</v>
      </c>
      <c r="AF381" s="83">
        <v>123</v>
      </c>
      <c r="AG381" s="83">
        <v>119</v>
      </c>
      <c r="AH381" s="83">
        <v>124</v>
      </c>
      <c r="AI381" s="83">
        <v>118</v>
      </c>
      <c r="AJ381" s="83">
        <v>112</v>
      </c>
      <c r="AK381" s="83">
        <v>111</v>
      </c>
      <c r="AL381" s="83">
        <v>105</v>
      </c>
      <c r="AM381" s="83">
        <v>112</v>
      </c>
      <c r="AN381" s="83">
        <v>109</v>
      </c>
      <c r="AO381" s="83">
        <v>110</v>
      </c>
      <c r="AP381" s="83">
        <v>104</v>
      </c>
      <c r="AQ381" s="83">
        <v>115</v>
      </c>
      <c r="AR381" s="83">
        <v>110</v>
      </c>
      <c r="AS381" s="83">
        <v>110</v>
      </c>
      <c r="AT381" s="83">
        <v>106</v>
      </c>
      <c r="AU381" s="83">
        <v>102</v>
      </c>
      <c r="AV381" s="83">
        <v>101</v>
      </c>
      <c r="AW381" s="83">
        <v>97</v>
      </c>
    </row>
    <row r="382" spans="1:49" x14ac:dyDescent="0.15">
      <c r="A382" s="83">
        <v>20201023</v>
      </c>
      <c r="B382" s="83">
        <v>65</v>
      </c>
      <c r="C382" s="83">
        <v>51</v>
      </c>
      <c r="D382" s="83">
        <v>50</v>
      </c>
      <c r="E382" s="83">
        <v>46</v>
      </c>
      <c r="F382" s="83">
        <v>46</v>
      </c>
      <c r="G382" s="83">
        <v>49</v>
      </c>
      <c r="H382" s="83">
        <v>49</v>
      </c>
      <c r="I382" s="83">
        <v>48</v>
      </c>
      <c r="J382" s="83">
        <v>44</v>
      </c>
      <c r="K382" s="83">
        <v>45</v>
      </c>
      <c r="L382" s="83">
        <v>43</v>
      </c>
      <c r="M382" s="83">
        <v>76</v>
      </c>
      <c r="N382" s="83">
        <v>83</v>
      </c>
      <c r="O382" s="83">
        <v>87</v>
      </c>
      <c r="P382" s="83">
        <v>96</v>
      </c>
      <c r="Q382" s="83">
        <v>104</v>
      </c>
      <c r="R382" s="83">
        <v>107</v>
      </c>
      <c r="S382" s="83">
        <v>122</v>
      </c>
      <c r="T382" s="83">
        <v>124</v>
      </c>
      <c r="U382" s="83">
        <v>125</v>
      </c>
      <c r="V382" s="83">
        <v>126</v>
      </c>
      <c r="W382" s="83">
        <v>128</v>
      </c>
      <c r="X382" s="83">
        <v>130</v>
      </c>
      <c r="Y382" s="83">
        <v>131</v>
      </c>
      <c r="Z382" s="83">
        <v>123</v>
      </c>
      <c r="AA382" s="83">
        <v>127</v>
      </c>
      <c r="AB382" s="83">
        <v>126</v>
      </c>
      <c r="AC382" s="83">
        <v>123</v>
      </c>
      <c r="AD382" s="83">
        <v>115</v>
      </c>
      <c r="AE382" s="83">
        <v>126</v>
      </c>
      <c r="AF382" s="83">
        <v>122</v>
      </c>
      <c r="AG382" s="83">
        <v>122</v>
      </c>
      <c r="AH382" s="83">
        <v>120</v>
      </c>
      <c r="AI382" s="83">
        <v>116</v>
      </c>
      <c r="AJ382" s="83">
        <v>117</v>
      </c>
      <c r="AK382" s="83">
        <v>115</v>
      </c>
      <c r="AL382" s="83">
        <v>106</v>
      </c>
      <c r="AM382" s="83">
        <v>121</v>
      </c>
      <c r="AN382" s="83">
        <v>115</v>
      </c>
      <c r="AO382" s="83">
        <v>114</v>
      </c>
      <c r="AP382" s="83">
        <v>111</v>
      </c>
      <c r="AQ382" s="83">
        <v>118</v>
      </c>
      <c r="AR382" s="83">
        <v>113</v>
      </c>
      <c r="AS382" s="83">
        <v>110</v>
      </c>
      <c r="AT382" s="83">
        <v>108</v>
      </c>
      <c r="AU382" s="83">
        <v>105</v>
      </c>
      <c r="AV382" s="83">
        <v>104</v>
      </c>
      <c r="AW382" s="83">
        <v>101</v>
      </c>
    </row>
    <row r="383" spans="1:49" x14ac:dyDescent="0.15">
      <c r="A383" s="83">
        <v>20201024</v>
      </c>
      <c r="B383" s="83">
        <v>70</v>
      </c>
      <c r="C383" s="83">
        <v>48</v>
      </c>
      <c r="D383" s="83">
        <v>48</v>
      </c>
      <c r="E383" s="83">
        <v>43</v>
      </c>
      <c r="F383" s="83">
        <v>43</v>
      </c>
      <c r="G383" s="83">
        <v>47</v>
      </c>
      <c r="H383" s="83">
        <v>45</v>
      </c>
      <c r="I383" s="83">
        <v>44</v>
      </c>
      <c r="J383" s="83">
        <v>41</v>
      </c>
      <c r="K383" s="83">
        <v>41</v>
      </c>
      <c r="L383" s="83">
        <v>41</v>
      </c>
      <c r="M383" s="83">
        <v>46</v>
      </c>
      <c r="N383" s="83">
        <v>103</v>
      </c>
      <c r="O383" s="83">
        <v>94</v>
      </c>
      <c r="P383" s="83">
        <v>106</v>
      </c>
      <c r="Q383" s="83">
        <v>120</v>
      </c>
      <c r="R383" s="83">
        <v>117</v>
      </c>
      <c r="S383" s="83">
        <v>131</v>
      </c>
      <c r="T383" s="83">
        <v>132</v>
      </c>
      <c r="U383" s="83">
        <v>125</v>
      </c>
      <c r="V383" s="83">
        <v>119</v>
      </c>
      <c r="W383" s="83">
        <v>119</v>
      </c>
      <c r="X383" s="83">
        <v>128</v>
      </c>
      <c r="Y383" s="83">
        <v>128</v>
      </c>
      <c r="Z383" s="83">
        <v>117</v>
      </c>
      <c r="AA383" s="83">
        <v>126</v>
      </c>
      <c r="AB383" s="83">
        <v>126</v>
      </c>
      <c r="AC383" s="83">
        <v>122</v>
      </c>
      <c r="AD383" s="83">
        <v>115</v>
      </c>
      <c r="AE383" s="83">
        <v>123</v>
      </c>
      <c r="AF383" s="83">
        <v>118</v>
      </c>
      <c r="AG383" s="83">
        <v>112</v>
      </c>
      <c r="AH383" s="83">
        <v>112</v>
      </c>
      <c r="AI383" s="83">
        <v>113</v>
      </c>
      <c r="AJ383" s="83">
        <v>115</v>
      </c>
      <c r="AK383" s="83">
        <v>108</v>
      </c>
      <c r="AL383" s="83">
        <v>104</v>
      </c>
      <c r="AM383" s="83">
        <v>108</v>
      </c>
      <c r="AN383" s="83">
        <v>107</v>
      </c>
      <c r="AO383" s="83">
        <v>113</v>
      </c>
      <c r="AP383" s="83">
        <v>110</v>
      </c>
      <c r="AQ383" s="83">
        <v>115</v>
      </c>
      <c r="AR383" s="83">
        <v>112</v>
      </c>
      <c r="AS383" s="83">
        <v>104</v>
      </c>
      <c r="AT383" s="83">
        <v>102</v>
      </c>
      <c r="AU383" s="83">
        <v>100</v>
      </c>
      <c r="AV383" s="83">
        <v>97</v>
      </c>
      <c r="AW383" s="83">
        <v>96</v>
      </c>
    </row>
    <row r="384" spans="1:49" x14ac:dyDescent="0.15">
      <c r="A384" s="83">
        <v>20201025</v>
      </c>
      <c r="B384" s="83">
        <v>61</v>
      </c>
      <c r="C384" s="83">
        <v>44</v>
      </c>
      <c r="D384" s="83">
        <v>43</v>
      </c>
      <c r="E384" s="83">
        <v>41</v>
      </c>
      <c r="F384" s="83">
        <v>40</v>
      </c>
      <c r="G384" s="83">
        <v>47</v>
      </c>
      <c r="H384" s="83">
        <v>43</v>
      </c>
      <c r="I384" s="83">
        <v>42</v>
      </c>
      <c r="J384" s="83">
        <v>40</v>
      </c>
      <c r="K384" s="83">
        <v>39</v>
      </c>
      <c r="L384" s="83">
        <v>39</v>
      </c>
      <c r="M384" s="83">
        <v>52</v>
      </c>
      <c r="N384" s="83">
        <v>98</v>
      </c>
      <c r="O384" s="83">
        <v>94</v>
      </c>
      <c r="P384" s="83">
        <v>113</v>
      </c>
      <c r="Q384" s="83">
        <v>114</v>
      </c>
      <c r="R384" s="83">
        <v>116</v>
      </c>
      <c r="S384" s="83">
        <v>128</v>
      </c>
      <c r="T384" s="83">
        <v>132</v>
      </c>
      <c r="U384" s="83">
        <v>131</v>
      </c>
      <c r="V384" s="83">
        <v>127</v>
      </c>
      <c r="W384" s="83">
        <v>126</v>
      </c>
      <c r="X384" s="83">
        <v>124</v>
      </c>
      <c r="Y384" s="83">
        <v>124</v>
      </c>
      <c r="Z384" s="83">
        <v>118</v>
      </c>
      <c r="AA384" s="83">
        <v>132</v>
      </c>
      <c r="AB384" s="83">
        <v>131</v>
      </c>
      <c r="AC384" s="83">
        <v>131</v>
      </c>
      <c r="AD384" s="83">
        <v>125</v>
      </c>
      <c r="AE384" s="83">
        <v>133</v>
      </c>
      <c r="AF384" s="83">
        <v>122</v>
      </c>
      <c r="AG384" s="83">
        <v>121</v>
      </c>
      <c r="AH384" s="83">
        <v>114</v>
      </c>
      <c r="AI384" s="83">
        <v>118</v>
      </c>
      <c r="AJ384" s="83">
        <v>111</v>
      </c>
      <c r="AK384" s="83">
        <v>111</v>
      </c>
      <c r="AL384" s="83">
        <v>104</v>
      </c>
      <c r="AM384" s="83">
        <v>112</v>
      </c>
      <c r="AN384" s="83">
        <v>109</v>
      </c>
      <c r="AO384" s="83">
        <v>107</v>
      </c>
      <c r="AP384" s="83">
        <v>108</v>
      </c>
      <c r="AQ384" s="83">
        <v>119</v>
      </c>
      <c r="AR384" s="83">
        <v>122</v>
      </c>
      <c r="AS384" s="83">
        <v>111</v>
      </c>
      <c r="AT384" s="83">
        <v>106</v>
      </c>
      <c r="AU384" s="83">
        <v>103</v>
      </c>
      <c r="AV384" s="83">
        <v>100</v>
      </c>
      <c r="AW384" s="83">
        <v>102</v>
      </c>
    </row>
    <row r="385" spans="1:49" x14ac:dyDescent="0.15">
      <c r="A385" s="83">
        <v>20201026</v>
      </c>
      <c r="B385" s="83">
        <v>70</v>
      </c>
      <c r="C385" s="83">
        <v>47</v>
      </c>
      <c r="D385" s="83">
        <v>46</v>
      </c>
      <c r="E385" s="83">
        <v>44</v>
      </c>
      <c r="F385" s="83">
        <v>43</v>
      </c>
      <c r="G385" s="83">
        <v>47</v>
      </c>
      <c r="H385" s="83">
        <v>46</v>
      </c>
      <c r="I385" s="83">
        <v>44</v>
      </c>
      <c r="J385" s="83">
        <v>41</v>
      </c>
      <c r="K385" s="83">
        <v>42</v>
      </c>
      <c r="L385" s="83">
        <v>42</v>
      </c>
      <c r="M385" s="83">
        <v>55</v>
      </c>
      <c r="N385" s="83">
        <v>105</v>
      </c>
      <c r="O385" s="83">
        <v>94</v>
      </c>
      <c r="P385" s="83">
        <v>110</v>
      </c>
      <c r="Q385" s="83">
        <v>116</v>
      </c>
      <c r="R385" s="83">
        <v>114</v>
      </c>
      <c r="S385" s="83">
        <v>128</v>
      </c>
      <c r="T385" s="83">
        <v>137</v>
      </c>
      <c r="U385" s="83">
        <v>131</v>
      </c>
      <c r="V385" s="83">
        <v>126</v>
      </c>
      <c r="W385" s="83">
        <v>131</v>
      </c>
      <c r="X385" s="83">
        <v>128</v>
      </c>
      <c r="Y385" s="83">
        <v>130</v>
      </c>
      <c r="Z385" s="83">
        <v>121</v>
      </c>
      <c r="AA385" s="83">
        <v>138</v>
      </c>
      <c r="AB385" s="83">
        <v>123</v>
      </c>
      <c r="AC385" s="83">
        <v>122</v>
      </c>
      <c r="AD385" s="83">
        <v>121</v>
      </c>
      <c r="AE385" s="83">
        <v>129</v>
      </c>
      <c r="AF385" s="83">
        <v>118</v>
      </c>
      <c r="AG385" s="83">
        <v>115</v>
      </c>
      <c r="AH385" s="83">
        <v>110</v>
      </c>
      <c r="AI385" s="83">
        <v>113</v>
      </c>
      <c r="AJ385" s="83">
        <v>109</v>
      </c>
      <c r="AK385" s="83">
        <v>110</v>
      </c>
      <c r="AL385" s="83">
        <v>101</v>
      </c>
      <c r="AM385" s="83">
        <v>117</v>
      </c>
      <c r="AN385" s="83">
        <v>112</v>
      </c>
      <c r="AO385" s="83">
        <v>114</v>
      </c>
      <c r="AP385" s="83">
        <v>104</v>
      </c>
      <c r="AQ385" s="83">
        <v>110</v>
      </c>
      <c r="AR385" s="83">
        <v>109</v>
      </c>
      <c r="AS385" s="83">
        <v>104</v>
      </c>
      <c r="AT385" s="83">
        <v>102</v>
      </c>
      <c r="AU385" s="83">
        <v>98</v>
      </c>
      <c r="AV385" s="83">
        <v>96</v>
      </c>
      <c r="AW385" s="83">
        <v>87</v>
      </c>
    </row>
    <row r="386" spans="1:49" x14ac:dyDescent="0.15">
      <c r="A386" s="83">
        <v>20201027</v>
      </c>
      <c r="B386" s="83">
        <v>57</v>
      </c>
      <c r="C386" s="83">
        <v>44</v>
      </c>
      <c r="D386" s="83">
        <v>43</v>
      </c>
      <c r="E386" s="83">
        <v>41</v>
      </c>
      <c r="F386" s="83">
        <v>40</v>
      </c>
      <c r="G386" s="83">
        <v>45</v>
      </c>
      <c r="H386" s="83">
        <v>42</v>
      </c>
      <c r="I386" s="83">
        <v>42</v>
      </c>
      <c r="J386" s="83">
        <v>37</v>
      </c>
      <c r="K386" s="83">
        <v>39</v>
      </c>
      <c r="L386" s="83">
        <v>39</v>
      </c>
      <c r="M386" s="83">
        <v>52</v>
      </c>
      <c r="N386" s="83">
        <v>89</v>
      </c>
      <c r="O386" s="83">
        <v>77</v>
      </c>
      <c r="P386" s="83">
        <v>89</v>
      </c>
      <c r="Q386" s="83">
        <v>97</v>
      </c>
      <c r="R386" s="83">
        <v>99</v>
      </c>
      <c r="S386" s="83">
        <v>116</v>
      </c>
      <c r="T386" s="83">
        <v>126</v>
      </c>
      <c r="U386" s="83">
        <v>128</v>
      </c>
      <c r="V386" s="83">
        <v>129</v>
      </c>
      <c r="W386" s="83">
        <v>126</v>
      </c>
      <c r="X386" s="83">
        <v>129</v>
      </c>
      <c r="Y386" s="83">
        <v>121</v>
      </c>
      <c r="Z386" s="83">
        <v>121</v>
      </c>
      <c r="AA386" s="83">
        <v>131</v>
      </c>
      <c r="AB386" s="83">
        <v>124</v>
      </c>
      <c r="AC386" s="83">
        <v>123</v>
      </c>
      <c r="AD386" s="83">
        <v>118</v>
      </c>
      <c r="AE386" s="83">
        <v>127</v>
      </c>
      <c r="AF386" s="83">
        <v>123</v>
      </c>
      <c r="AG386" s="83">
        <v>124</v>
      </c>
      <c r="AH386" s="83">
        <v>120</v>
      </c>
      <c r="AI386" s="83">
        <v>119</v>
      </c>
      <c r="AJ386" s="83">
        <v>115</v>
      </c>
      <c r="AK386" s="83">
        <v>117</v>
      </c>
      <c r="AL386" s="83">
        <v>103</v>
      </c>
      <c r="AM386" s="83">
        <v>112</v>
      </c>
      <c r="AN386" s="83">
        <v>113</v>
      </c>
      <c r="AO386" s="83">
        <v>117</v>
      </c>
      <c r="AP386" s="83">
        <v>108</v>
      </c>
      <c r="AQ386" s="83">
        <v>116</v>
      </c>
      <c r="AR386" s="83">
        <v>110</v>
      </c>
      <c r="AS386" s="83">
        <v>107</v>
      </c>
      <c r="AT386" s="83">
        <v>102</v>
      </c>
      <c r="AU386" s="83">
        <v>101</v>
      </c>
      <c r="AV386" s="83">
        <v>99</v>
      </c>
      <c r="AW386" s="83">
        <v>100</v>
      </c>
    </row>
    <row r="387" spans="1:49" x14ac:dyDescent="0.15">
      <c r="A387" s="83">
        <v>20201028</v>
      </c>
      <c r="B387" s="83">
        <v>63</v>
      </c>
      <c r="C387" s="83">
        <v>45</v>
      </c>
      <c r="D387" s="83">
        <v>43</v>
      </c>
      <c r="E387" s="83">
        <v>40</v>
      </c>
      <c r="F387" s="83">
        <v>40</v>
      </c>
      <c r="G387" s="83">
        <v>45</v>
      </c>
      <c r="H387" s="83">
        <v>43</v>
      </c>
      <c r="I387" s="83">
        <v>40</v>
      </c>
      <c r="J387" s="83">
        <v>39</v>
      </c>
      <c r="K387" s="83">
        <v>39</v>
      </c>
      <c r="L387" s="83">
        <v>39</v>
      </c>
      <c r="M387" s="83">
        <v>71</v>
      </c>
      <c r="N387" s="83">
        <v>88</v>
      </c>
      <c r="O387" s="83">
        <v>90</v>
      </c>
      <c r="P387" s="83">
        <v>99</v>
      </c>
      <c r="Q387" s="83">
        <v>109</v>
      </c>
      <c r="R387" s="83">
        <v>112</v>
      </c>
      <c r="S387" s="83">
        <v>129</v>
      </c>
      <c r="T387" s="83">
        <v>127</v>
      </c>
      <c r="U387" s="83">
        <v>125</v>
      </c>
      <c r="V387" s="83">
        <v>126</v>
      </c>
      <c r="W387" s="83">
        <v>125</v>
      </c>
      <c r="X387" s="83">
        <v>126</v>
      </c>
      <c r="Y387" s="83">
        <v>126</v>
      </c>
      <c r="Z387" s="83">
        <v>124</v>
      </c>
      <c r="AA387" s="83">
        <v>130</v>
      </c>
      <c r="AB387" s="83">
        <v>128</v>
      </c>
      <c r="AC387" s="83">
        <v>123</v>
      </c>
      <c r="AD387" s="83">
        <v>120</v>
      </c>
      <c r="AE387" s="83">
        <v>129</v>
      </c>
      <c r="AF387" s="83">
        <v>123</v>
      </c>
      <c r="AG387" s="83">
        <v>120</v>
      </c>
      <c r="AH387" s="83">
        <v>115</v>
      </c>
      <c r="AI387" s="83">
        <v>115</v>
      </c>
      <c r="AJ387" s="83">
        <v>111</v>
      </c>
      <c r="AK387" s="83">
        <v>112</v>
      </c>
      <c r="AL387" s="83">
        <v>110</v>
      </c>
      <c r="AM387" s="83">
        <v>117</v>
      </c>
      <c r="AN387" s="83">
        <v>109</v>
      </c>
      <c r="AO387" s="83">
        <v>112</v>
      </c>
      <c r="AP387" s="83">
        <v>105</v>
      </c>
      <c r="AQ387" s="83">
        <v>114</v>
      </c>
      <c r="AR387" s="83">
        <v>111</v>
      </c>
      <c r="AS387" s="83">
        <v>105</v>
      </c>
      <c r="AT387" s="83">
        <v>104</v>
      </c>
      <c r="AU387" s="83">
        <v>103</v>
      </c>
      <c r="AV387" s="83">
        <v>100</v>
      </c>
      <c r="AW387" s="83">
        <v>96</v>
      </c>
    </row>
    <row r="388" spans="1:49" x14ac:dyDescent="0.15">
      <c r="A388" s="83">
        <v>20201029</v>
      </c>
      <c r="B388" s="83">
        <v>63</v>
      </c>
      <c r="C388" s="83">
        <v>45</v>
      </c>
      <c r="D388" s="83">
        <v>45</v>
      </c>
      <c r="E388" s="83">
        <v>42</v>
      </c>
      <c r="F388" s="83">
        <v>43</v>
      </c>
      <c r="G388" s="83">
        <v>46</v>
      </c>
      <c r="H388" s="83">
        <v>45</v>
      </c>
      <c r="I388" s="83">
        <v>44</v>
      </c>
      <c r="J388" s="83">
        <v>40</v>
      </c>
      <c r="K388" s="83">
        <v>41</v>
      </c>
      <c r="L388" s="83">
        <v>41</v>
      </c>
      <c r="M388" s="83">
        <v>63</v>
      </c>
      <c r="N388" s="83">
        <v>98</v>
      </c>
      <c r="O388" s="83">
        <v>92</v>
      </c>
      <c r="P388" s="83">
        <v>110</v>
      </c>
      <c r="Q388" s="83">
        <v>114</v>
      </c>
      <c r="R388" s="83">
        <v>117</v>
      </c>
      <c r="S388" s="83">
        <v>128</v>
      </c>
      <c r="T388" s="83">
        <v>138</v>
      </c>
      <c r="U388" s="83">
        <v>130</v>
      </c>
      <c r="V388" s="83">
        <v>128</v>
      </c>
      <c r="W388" s="83">
        <v>123</v>
      </c>
      <c r="X388" s="83">
        <v>124</v>
      </c>
      <c r="Y388" s="83">
        <v>124</v>
      </c>
      <c r="Z388" s="83">
        <v>121</v>
      </c>
      <c r="AA388" s="83">
        <v>131</v>
      </c>
      <c r="AB388" s="83">
        <v>126</v>
      </c>
      <c r="AC388" s="83">
        <v>121</v>
      </c>
      <c r="AD388" s="83">
        <v>115</v>
      </c>
      <c r="AE388" s="83">
        <v>127</v>
      </c>
      <c r="AF388" s="83">
        <v>117</v>
      </c>
      <c r="AG388" s="83">
        <v>115</v>
      </c>
      <c r="AH388" s="83">
        <v>115</v>
      </c>
      <c r="AI388" s="83">
        <v>114</v>
      </c>
      <c r="AJ388" s="83">
        <v>112</v>
      </c>
      <c r="AK388" s="83">
        <v>111</v>
      </c>
      <c r="AL388" s="83">
        <v>102</v>
      </c>
      <c r="AM388" s="83">
        <v>112</v>
      </c>
      <c r="AN388" s="83">
        <v>112</v>
      </c>
      <c r="AO388" s="83">
        <v>116</v>
      </c>
      <c r="AP388" s="83">
        <v>105</v>
      </c>
      <c r="AQ388" s="83">
        <v>112</v>
      </c>
      <c r="AR388" s="83">
        <v>108</v>
      </c>
      <c r="AS388" s="83">
        <v>103</v>
      </c>
      <c r="AT388" s="83">
        <v>99</v>
      </c>
      <c r="AU388" s="83">
        <v>99</v>
      </c>
      <c r="AV388" s="83">
        <v>97</v>
      </c>
      <c r="AW388" s="83">
        <v>96</v>
      </c>
    </row>
    <row r="389" spans="1:49" x14ac:dyDescent="0.15">
      <c r="A389" s="83">
        <v>20201030</v>
      </c>
      <c r="B389" s="83">
        <v>65</v>
      </c>
      <c r="C389" s="83">
        <v>43</v>
      </c>
      <c r="D389" s="83">
        <v>43</v>
      </c>
      <c r="E389" s="83">
        <v>39</v>
      </c>
      <c r="F389" s="83">
        <v>40</v>
      </c>
      <c r="G389" s="83">
        <v>44</v>
      </c>
      <c r="H389" s="83">
        <v>42</v>
      </c>
      <c r="I389" s="83">
        <v>41</v>
      </c>
      <c r="J389" s="83">
        <v>37</v>
      </c>
      <c r="K389" s="83">
        <v>37</v>
      </c>
      <c r="L389" s="83">
        <v>38</v>
      </c>
      <c r="M389" s="83">
        <v>52</v>
      </c>
      <c r="N389" s="83">
        <v>89</v>
      </c>
      <c r="O389" s="83">
        <v>79</v>
      </c>
      <c r="P389" s="83">
        <v>95</v>
      </c>
      <c r="Q389" s="83">
        <v>97</v>
      </c>
      <c r="R389" s="83">
        <v>99</v>
      </c>
      <c r="S389" s="83">
        <v>124</v>
      </c>
      <c r="T389" s="83">
        <v>130</v>
      </c>
      <c r="U389" s="83">
        <v>126</v>
      </c>
      <c r="V389" s="83">
        <v>121</v>
      </c>
      <c r="W389" s="83">
        <v>121</v>
      </c>
      <c r="X389" s="83">
        <v>122</v>
      </c>
      <c r="Y389" s="83">
        <v>116</v>
      </c>
      <c r="Z389" s="83">
        <v>118</v>
      </c>
      <c r="AA389" s="83">
        <v>125</v>
      </c>
      <c r="AB389" s="83">
        <v>124</v>
      </c>
      <c r="AC389" s="83">
        <v>119</v>
      </c>
      <c r="AD389" s="83">
        <v>111</v>
      </c>
      <c r="AE389" s="83">
        <v>119</v>
      </c>
      <c r="AF389" s="83">
        <v>112</v>
      </c>
      <c r="AG389" s="83">
        <v>112</v>
      </c>
      <c r="AH389" s="83">
        <v>109</v>
      </c>
      <c r="AI389" s="83">
        <v>111</v>
      </c>
      <c r="AJ389" s="83">
        <v>111</v>
      </c>
      <c r="AK389" s="83">
        <v>111</v>
      </c>
      <c r="AL389" s="83">
        <v>106</v>
      </c>
      <c r="AM389" s="83">
        <v>111</v>
      </c>
      <c r="AN389" s="83">
        <v>108</v>
      </c>
      <c r="AO389" s="83">
        <v>106</v>
      </c>
      <c r="AP389" s="83">
        <v>99</v>
      </c>
      <c r="AQ389" s="83">
        <v>106</v>
      </c>
      <c r="AR389" s="83">
        <v>106</v>
      </c>
      <c r="AS389" s="83">
        <v>99</v>
      </c>
      <c r="AT389" s="83">
        <v>98</v>
      </c>
      <c r="AU389" s="83">
        <v>95</v>
      </c>
      <c r="AV389" s="83">
        <v>94</v>
      </c>
      <c r="AW389" s="83">
        <v>94</v>
      </c>
    </row>
    <row r="390" spans="1:49" x14ac:dyDescent="0.15">
      <c r="A390" s="83">
        <v>20201031</v>
      </c>
      <c r="B390" s="83">
        <v>62</v>
      </c>
      <c r="C390" s="83">
        <v>43</v>
      </c>
      <c r="D390" s="83">
        <v>42</v>
      </c>
      <c r="E390" s="83">
        <v>39</v>
      </c>
      <c r="F390" s="83">
        <v>38</v>
      </c>
      <c r="G390" s="83">
        <v>43</v>
      </c>
      <c r="H390" s="83">
        <v>42</v>
      </c>
      <c r="I390" s="83">
        <v>39</v>
      </c>
      <c r="J390" s="83">
        <v>38</v>
      </c>
      <c r="K390" s="83">
        <v>38</v>
      </c>
      <c r="L390" s="83">
        <v>42</v>
      </c>
      <c r="M390" s="83">
        <v>53</v>
      </c>
      <c r="N390" s="83">
        <v>88</v>
      </c>
      <c r="O390" s="83">
        <v>75</v>
      </c>
      <c r="P390" s="83">
        <v>92</v>
      </c>
      <c r="Q390" s="83">
        <v>102</v>
      </c>
      <c r="R390" s="83">
        <v>113</v>
      </c>
      <c r="S390" s="83">
        <v>127</v>
      </c>
      <c r="T390" s="83">
        <v>132</v>
      </c>
      <c r="U390" s="83">
        <v>128</v>
      </c>
      <c r="V390" s="83">
        <v>125</v>
      </c>
      <c r="W390" s="83">
        <v>126</v>
      </c>
      <c r="X390" s="83">
        <v>120</v>
      </c>
      <c r="Y390" s="83">
        <v>123</v>
      </c>
      <c r="Z390" s="83">
        <v>122</v>
      </c>
      <c r="AA390" s="83">
        <v>129</v>
      </c>
      <c r="AB390" s="83">
        <v>124</v>
      </c>
      <c r="AC390" s="83">
        <v>128</v>
      </c>
      <c r="AD390" s="83">
        <v>117</v>
      </c>
      <c r="AE390" s="83">
        <v>132</v>
      </c>
      <c r="AF390" s="83">
        <v>127</v>
      </c>
      <c r="AG390" s="83">
        <v>121</v>
      </c>
      <c r="AH390" s="83">
        <v>118</v>
      </c>
      <c r="AI390" s="83">
        <v>118</v>
      </c>
      <c r="AJ390" s="83">
        <v>113</v>
      </c>
      <c r="AK390" s="83">
        <v>113</v>
      </c>
      <c r="AL390" s="83">
        <v>104</v>
      </c>
      <c r="AM390" s="83">
        <v>111</v>
      </c>
      <c r="AN390" s="83">
        <v>106</v>
      </c>
      <c r="AO390" s="83">
        <v>111</v>
      </c>
      <c r="AP390" s="83">
        <v>111</v>
      </c>
      <c r="AQ390" s="83">
        <v>118</v>
      </c>
      <c r="AR390" s="83">
        <v>110</v>
      </c>
      <c r="AS390" s="83">
        <v>105</v>
      </c>
      <c r="AT390" s="83">
        <v>96</v>
      </c>
      <c r="AU390" s="83">
        <v>98</v>
      </c>
      <c r="AV390" s="83">
        <v>95</v>
      </c>
      <c r="AW390" s="83">
        <v>89</v>
      </c>
    </row>
    <row r="391" spans="1:49" x14ac:dyDescent="0.15">
      <c r="B391" s="65">
        <f>AVERAGE(B360:B390)</f>
        <v>65.41935483870968</v>
      </c>
      <c r="C391" s="65">
        <f t="shared" ref="C391:AW391" si="14">AVERAGE(C360:C390)</f>
        <v>47.483870967741936</v>
      </c>
      <c r="D391" s="65">
        <f t="shared" si="14"/>
        <v>46.903225806451616</v>
      </c>
      <c r="E391" s="65">
        <f t="shared" si="14"/>
        <v>43.967741935483872</v>
      </c>
      <c r="F391" s="65">
        <f t="shared" si="14"/>
        <v>43.064516129032256</v>
      </c>
      <c r="G391" s="65">
        <f t="shared" si="14"/>
        <v>48.451612903225808</v>
      </c>
      <c r="H391" s="65">
        <f t="shared" si="14"/>
        <v>46.29032258064516</v>
      </c>
      <c r="I391" s="65">
        <f t="shared" si="14"/>
        <v>45.225806451612904</v>
      </c>
      <c r="J391" s="65">
        <f t="shared" si="14"/>
        <v>42.225806451612904</v>
      </c>
      <c r="K391" s="65">
        <f t="shared" si="14"/>
        <v>42.354838709677416</v>
      </c>
      <c r="L391" s="65">
        <f t="shared" si="14"/>
        <v>43.70967741935484</v>
      </c>
      <c r="M391" s="65">
        <f t="shared" si="14"/>
        <v>56.354838709677416</v>
      </c>
      <c r="N391" s="65">
        <f t="shared" si="14"/>
        <v>98.451612903225808</v>
      </c>
      <c r="O391" s="65">
        <f t="shared" si="14"/>
        <v>91.41935483870968</v>
      </c>
      <c r="P391" s="65">
        <f t="shared" si="14"/>
        <v>104.74193548387096</v>
      </c>
      <c r="Q391" s="65">
        <f t="shared" si="14"/>
        <v>110.6774193548387</v>
      </c>
      <c r="R391" s="65">
        <f t="shared" si="14"/>
        <v>113.2258064516129</v>
      </c>
      <c r="S391" s="65">
        <f t="shared" si="14"/>
        <v>128.70967741935485</v>
      </c>
      <c r="T391" s="65">
        <f t="shared" si="14"/>
        <v>133.7741935483871</v>
      </c>
      <c r="U391" s="65">
        <f t="shared" si="14"/>
        <v>130.03225806451613</v>
      </c>
      <c r="V391" s="65">
        <f t="shared" si="14"/>
        <v>127.41935483870968</v>
      </c>
      <c r="W391" s="65">
        <f t="shared" si="14"/>
        <v>127.96774193548387</v>
      </c>
      <c r="X391" s="65">
        <f t="shared" si="14"/>
        <v>129.38709677419354</v>
      </c>
      <c r="Y391" s="65">
        <f t="shared" si="14"/>
        <v>129.38709677419354</v>
      </c>
      <c r="Z391" s="65">
        <f t="shared" si="14"/>
        <v>123.70967741935483</v>
      </c>
      <c r="AA391" s="65">
        <f t="shared" si="14"/>
        <v>133.09677419354838</v>
      </c>
      <c r="AB391" s="65">
        <f t="shared" si="14"/>
        <v>128.70967741935485</v>
      </c>
      <c r="AC391" s="65">
        <f t="shared" si="14"/>
        <v>128.45161290322579</v>
      </c>
      <c r="AD391" s="65">
        <f t="shared" si="14"/>
        <v>120.19354838709677</v>
      </c>
      <c r="AE391" s="65">
        <f t="shared" si="14"/>
        <v>132.09677419354838</v>
      </c>
      <c r="AF391" s="65">
        <f t="shared" si="14"/>
        <v>126.64516129032258</v>
      </c>
      <c r="AG391" s="65">
        <f t="shared" si="14"/>
        <v>122.61290322580645</v>
      </c>
      <c r="AH391" s="65">
        <f t="shared" si="14"/>
        <v>118.45161290322581</v>
      </c>
      <c r="AI391" s="65">
        <f t="shared" si="14"/>
        <v>118.25806451612904</v>
      </c>
      <c r="AJ391" s="65">
        <f t="shared" si="14"/>
        <v>116.61290322580645</v>
      </c>
      <c r="AK391" s="65">
        <f t="shared" si="14"/>
        <v>115.35483870967742</v>
      </c>
      <c r="AL391" s="65">
        <f t="shared" si="14"/>
        <v>106.41935483870968</v>
      </c>
      <c r="AM391" s="65">
        <f t="shared" si="14"/>
        <v>116.6774193548387</v>
      </c>
      <c r="AN391" s="65">
        <f t="shared" si="14"/>
        <v>111.54838709677419</v>
      </c>
      <c r="AO391" s="65">
        <f t="shared" si="14"/>
        <v>112.48387096774194</v>
      </c>
      <c r="AP391" s="65">
        <f t="shared" si="14"/>
        <v>106.70967741935483</v>
      </c>
      <c r="AQ391" s="65">
        <f t="shared" si="14"/>
        <v>114.70967741935483</v>
      </c>
      <c r="AR391" s="65">
        <f t="shared" si="14"/>
        <v>111.54838709677419</v>
      </c>
      <c r="AS391" s="65">
        <f t="shared" si="14"/>
        <v>106.41935483870968</v>
      </c>
      <c r="AT391" s="65">
        <f t="shared" si="14"/>
        <v>102.61290322580645</v>
      </c>
      <c r="AU391" s="65">
        <f t="shared" si="14"/>
        <v>100.90322580645162</v>
      </c>
      <c r="AV391" s="65">
        <f t="shared" si="14"/>
        <v>98.58064516129032</v>
      </c>
      <c r="AW391" s="65">
        <f t="shared" si="14"/>
        <v>95.967741935483872</v>
      </c>
    </row>
    <row r="392" spans="1:49" x14ac:dyDescent="0.15">
      <c r="B392" s="173">
        <f>AVERAGE(B360:C391)</f>
        <v>56.451612903225808</v>
      </c>
      <c r="C392" s="173"/>
      <c r="D392" s="173">
        <f>AVERAGE(D360:E391)</f>
        <v>45.435483870967744</v>
      </c>
      <c r="E392" s="173"/>
      <c r="F392" s="173">
        <f>AVERAGE(F360:G391)</f>
        <v>45.758064516129032</v>
      </c>
      <c r="G392" s="173"/>
      <c r="H392" s="173">
        <f>AVERAGE(H360:I391)</f>
        <v>45.758064516129032</v>
      </c>
      <c r="I392" s="173"/>
      <c r="J392" s="173">
        <f>AVERAGE(J360:K391)</f>
        <v>42.29032258064516</v>
      </c>
      <c r="K392" s="173"/>
      <c r="L392" s="173">
        <f>AVERAGE(L360:M391)</f>
        <v>50.032258064516128</v>
      </c>
      <c r="M392" s="173"/>
      <c r="N392" s="173">
        <f>AVERAGE(N360:O391)</f>
        <v>94.93548387096773</v>
      </c>
      <c r="O392" s="173"/>
      <c r="P392" s="173">
        <f>AVERAGE(P360:Q391)</f>
        <v>107.70967741935485</v>
      </c>
      <c r="Q392" s="173"/>
      <c r="R392" s="173">
        <f>AVERAGE(R360:S391)</f>
        <v>120.96774193548387</v>
      </c>
      <c r="S392" s="173"/>
      <c r="T392" s="173">
        <f>AVERAGE(T360:U391)</f>
        <v>131.90322580645162</v>
      </c>
      <c r="U392" s="173"/>
      <c r="V392" s="173">
        <f>AVERAGE(V360:W391)</f>
        <v>127.69354838709677</v>
      </c>
      <c r="W392" s="173"/>
      <c r="X392" s="173">
        <f>AVERAGE(X360:Y391)</f>
        <v>129.38709677419354</v>
      </c>
      <c r="Y392" s="173"/>
      <c r="Z392" s="173">
        <f>AVERAGE(Z360:AA391)</f>
        <v>128.40322580645162</v>
      </c>
      <c r="AA392" s="173"/>
      <c r="AB392" s="173">
        <f>AVERAGE(AB360:AC391)</f>
        <v>128.58064516129033</v>
      </c>
      <c r="AC392" s="173"/>
      <c r="AD392" s="173">
        <f>AVERAGE(AD360:AE391)</f>
        <v>126.14516129032258</v>
      </c>
      <c r="AE392" s="173"/>
      <c r="AF392" s="173">
        <f>AVERAGE(AF360:AG391)</f>
        <v>124.62903225806453</v>
      </c>
      <c r="AG392" s="173"/>
      <c r="AH392" s="173">
        <f>AVERAGE(AH360:AI391)</f>
        <v>118.35483870967741</v>
      </c>
      <c r="AI392" s="173"/>
      <c r="AJ392" s="173">
        <f>AVERAGE(AJ360:AK391)</f>
        <v>115.98387096774194</v>
      </c>
      <c r="AK392" s="173"/>
      <c r="AL392" s="173">
        <f>AVERAGE(AL360:AM391)</f>
        <v>111.54838709677419</v>
      </c>
      <c r="AM392" s="173"/>
      <c r="AN392" s="173">
        <f>AVERAGE(AN360:AO391)</f>
        <v>112.01612903225806</v>
      </c>
      <c r="AO392" s="173"/>
      <c r="AP392" s="173">
        <f>AVERAGE(AP360:AQ391)</f>
        <v>110.70967741935485</v>
      </c>
      <c r="AQ392" s="173"/>
      <c r="AR392" s="173">
        <f>AVERAGE(AR360:AS391)</f>
        <v>108.98387096774194</v>
      </c>
      <c r="AS392" s="173"/>
      <c r="AT392" s="173">
        <f>AVERAGE(AT360:AU391)</f>
        <v>101.75806451612904</v>
      </c>
      <c r="AU392" s="173"/>
      <c r="AV392" s="173">
        <f>AVERAGE(AV360:AW391)</f>
        <v>97.274193548387103</v>
      </c>
      <c r="AW392" s="173"/>
    </row>
  </sheetData>
  <mergeCells count="288">
    <mergeCell ref="AL392:AM392"/>
    <mergeCell ref="AN392:AO392"/>
    <mergeCell ref="AP392:AQ392"/>
    <mergeCell ref="AR392:AS392"/>
    <mergeCell ref="AT392:AU392"/>
    <mergeCell ref="AV392:AW392"/>
    <mergeCell ref="Z392:AA392"/>
    <mergeCell ref="AB392:AC392"/>
    <mergeCell ref="AD392:AE392"/>
    <mergeCell ref="AF392:AG392"/>
    <mergeCell ref="AH392:AI392"/>
    <mergeCell ref="AJ392:AK392"/>
    <mergeCell ref="N392:O392"/>
    <mergeCell ref="P392:Q392"/>
    <mergeCell ref="R392:S392"/>
    <mergeCell ref="T392:U392"/>
    <mergeCell ref="V392:W392"/>
    <mergeCell ref="X392:Y392"/>
    <mergeCell ref="B392:C392"/>
    <mergeCell ref="D392:E392"/>
    <mergeCell ref="F392:G392"/>
    <mergeCell ref="H392:I392"/>
    <mergeCell ref="J392:K392"/>
    <mergeCell ref="L392:M392"/>
    <mergeCell ref="AL359:AM359"/>
    <mergeCell ref="AN359:AO359"/>
    <mergeCell ref="AP359:AQ359"/>
    <mergeCell ref="AR359:AS359"/>
    <mergeCell ref="AT359:AU359"/>
    <mergeCell ref="AV359:AW359"/>
    <mergeCell ref="Z359:AA359"/>
    <mergeCell ref="AB359:AC359"/>
    <mergeCell ref="AD359:AE359"/>
    <mergeCell ref="AF359:AG359"/>
    <mergeCell ref="AH359:AI359"/>
    <mergeCell ref="AJ359:AK359"/>
    <mergeCell ref="N359:O359"/>
    <mergeCell ref="P359:Q359"/>
    <mergeCell ref="R359:S359"/>
    <mergeCell ref="T359:U359"/>
    <mergeCell ref="V359:W359"/>
    <mergeCell ref="X359:Y359"/>
    <mergeCell ref="B359:C359"/>
    <mergeCell ref="D359:E359"/>
    <mergeCell ref="F359:G359"/>
    <mergeCell ref="H359:I359"/>
    <mergeCell ref="J359:K359"/>
    <mergeCell ref="L359:M359"/>
    <mergeCell ref="AL327:AM327"/>
    <mergeCell ref="AN327:AO327"/>
    <mergeCell ref="AP327:AQ327"/>
    <mergeCell ref="AR327:AS327"/>
    <mergeCell ref="AT327:AU327"/>
    <mergeCell ref="AV327:AW327"/>
    <mergeCell ref="Z327:AA327"/>
    <mergeCell ref="AB327:AC327"/>
    <mergeCell ref="AD327:AE327"/>
    <mergeCell ref="AF327:AG327"/>
    <mergeCell ref="AH327:AI327"/>
    <mergeCell ref="AJ327:AK327"/>
    <mergeCell ref="N327:O327"/>
    <mergeCell ref="P327:Q327"/>
    <mergeCell ref="R327:S327"/>
    <mergeCell ref="T327:U327"/>
    <mergeCell ref="V327:W327"/>
    <mergeCell ref="X327:Y327"/>
    <mergeCell ref="B327:C327"/>
    <mergeCell ref="D327:E327"/>
    <mergeCell ref="F327:G327"/>
    <mergeCell ref="H327:I327"/>
    <mergeCell ref="J327:K327"/>
    <mergeCell ref="L327:M327"/>
    <mergeCell ref="AL294:AM294"/>
    <mergeCell ref="AN294:AO294"/>
    <mergeCell ref="AP294:AQ294"/>
    <mergeCell ref="AR294:AS294"/>
    <mergeCell ref="AT294:AU294"/>
    <mergeCell ref="AV294:AW294"/>
    <mergeCell ref="Z294:AA294"/>
    <mergeCell ref="AB294:AC294"/>
    <mergeCell ref="AD294:AE294"/>
    <mergeCell ref="AF294:AG294"/>
    <mergeCell ref="AH294:AI294"/>
    <mergeCell ref="AJ294:AK294"/>
    <mergeCell ref="N294:O294"/>
    <mergeCell ref="P294:Q294"/>
    <mergeCell ref="R294:S294"/>
    <mergeCell ref="T294:U294"/>
    <mergeCell ref="V294:W294"/>
    <mergeCell ref="X294:Y294"/>
    <mergeCell ref="B294:C294"/>
    <mergeCell ref="D294:E294"/>
    <mergeCell ref="F294:G294"/>
    <mergeCell ref="H294:I294"/>
    <mergeCell ref="J294:K294"/>
    <mergeCell ref="L294:M294"/>
    <mergeCell ref="AL261:AM261"/>
    <mergeCell ref="AN261:AO261"/>
    <mergeCell ref="AP261:AQ261"/>
    <mergeCell ref="AR261:AS261"/>
    <mergeCell ref="AT261:AU261"/>
    <mergeCell ref="AV261:AW261"/>
    <mergeCell ref="Z261:AA261"/>
    <mergeCell ref="AB261:AC261"/>
    <mergeCell ref="AD261:AE261"/>
    <mergeCell ref="AF261:AG261"/>
    <mergeCell ref="AH261:AI261"/>
    <mergeCell ref="AJ261:AK261"/>
    <mergeCell ref="N261:O261"/>
    <mergeCell ref="P261:Q261"/>
    <mergeCell ref="R261:S261"/>
    <mergeCell ref="T261:U261"/>
    <mergeCell ref="V261:W261"/>
    <mergeCell ref="X261:Y261"/>
    <mergeCell ref="B261:C261"/>
    <mergeCell ref="D261:E261"/>
    <mergeCell ref="F261:G261"/>
    <mergeCell ref="H261:I261"/>
    <mergeCell ref="J261:K261"/>
    <mergeCell ref="L261:M261"/>
    <mergeCell ref="AL229:AM229"/>
    <mergeCell ref="AN229:AO229"/>
    <mergeCell ref="AP229:AQ229"/>
    <mergeCell ref="AR229:AS229"/>
    <mergeCell ref="AT229:AU229"/>
    <mergeCell ref="AV229:AW229"/>
    <mergeCell ref="Z229:AA229"/>
    <mergeCell ref="AB229:AC229"/>
    <mergeCell ref="AD229:AE229"/>
    <mergeCell ref="AF229:AG229"/>
    <mergeCell ref="AH229:AI229"/>
    <mergeCell ref="AJ229:AK229"/>
    <mergeCell ref="N229:O229"/>
    <mergeCell ref="P229:Q229"/>
    <mergeCell ref="R229:S229"/>
    <mergeCell ref="T229:U229"/>
    <mergeCell ref="V229:W229"/>
    <mergeCell ref="X229:Y229"/>
    <mergeCell ref="B229:C229"/>
    <mergeCell ref="D229:E229"/>
    <mergeCell ref="F229:G229"/>
    <mergeCell ref="H229:I229"/>
    <mergeCell ref="J229:K229"/>
    <mergeCell ref="L229:M229"/>
    <mergeCell ref="AL196:AM196"/>
    <mergeCell ref="AN196:AO196"/>
    <mergeCell ref="AP196:AQ196"/>
    <mergeCell ref="AR196:AS196"/>
    <mergeCell ref="AT196:AU196"/>
    <mergeCell ref="AV196:AW196"/>
    <mergeCell ref="Z196:AA196"/>
    <mergeCell ref="AB196:AC196"/>
    <mergeCell ref="AD196:AE196"/>
    <mergeCell ref="AF196:AG196"/>
    <mergeCell ref="AH196:AI196"/>
    <mergeCell ref="AJ196:AK196"/>
    <mergeCell ref="N196:O196"/>
    <mergeCell ref="P196:Q196"/>
    <mergeCell ref="R196:S196"/>
    <mergeCell ref="T196:U196"/>
    <mergeCell ref="V196:W196"/>
    <mergeCell ref="X196:Y196"/>
    <mergeCell ref="B196:C196"/>
    <mergeCell ref="D196:E196"/>
    <mergeCell ref="F196:G196"/>
    <mergeCell ref="H196:I196"/>
    <mergeCell ref="J196:K196"/>
    <mergeCell ref="L196:M196"/>
    <mergeCell ref="AL164:AM164"/>
    <mergeCell ref="AN164:AO164"/>
    <mergeCell ref="AP164:AQ164"/>
    <mergeCell ref="AR164:AS164"/>
    <mergeCell ref="AT164:AU164"/>
    <mergeCell ref="AV164:AW164"/>
    <mergeCell ref="Z164:AA164"/>
    <mergeCell ref="AB164:AC164"/>
    <mergeCell ref="AD164:AE164"/>
    <mergeCell ref="AF164:AG164"/>
    <mergeCell ref="AH164:AI164"/>
    <mergeCell ref="AJ164:AK164"/>
    <mergeCell ref="N164:O164"/>
    <mergeCell ref="P164:Q164"/>
    <mergeCell ref="R164:S164"/>
    <mergeCell ref="T164:U164"/>
    <mergeCell ref="V164:W164"/>
    <mergeCell ref="X164:Y164"/>
    <mergeCell ref="B164:C164"/>
    <mergeCell ref="D164:E164"/>
    <mergeCell ref="F164:G164"/>
    <mergeCell ref="H164:I164"/>
    <mergeCell ref="J164:K164"/>
    <mergeCell ref="L164:M164"/>
    <mergeCell ref="AL131:AM131"/>
    <mergeCell ref="AN131:AO131"/>
    <mergeCell ref="AP131:AQ131"/>
    <mergeCell ref="AR131:AS131"/>
    <mergeCell ref="AT131:AU131"/>
    <mergeCell ref="AV131:AW131"/>
    <mergeCell ref="Z131:AA131"/>
    <mergeCell ref="AB131:AC131"/>
    <mergeCell ref="AD131:AE131"/>
    <mergeCell ref="AF131:AG131"/>
    <mergeCell ref="AH131:AI131"/>
    <mergeCell ref="AJ131:AK131"/>
    <mergeCell ref="N131:O131"/>
    <mergeCell ref="P131:Q131"/>
    <mergeCell ref="R131:S131"/>
    <mergeCell ref="T131:U131"/>
    <mergeCell ref="V131:W131"/>
    <mergeCell ref="X131:Y131"/>
    <mergeCell ref="B131:C131"/>
    <mergeCell ref="D131:E131"/>
    <mergeCell ref="F131:G131"/>
    <mergeCell ref="H131:I131"/>
    <mergeCell ref="J131:K131"/>
    <mergeCell ref="L131:M131"/>
    <mergeCell ref="AL100:AM100"/>
    <mergeCell ref="AN100:AO100"/>
    <mergeCell ref="AP100:AQ100"/>
    <mergeCell ref="AR100:AS100"/>
    <mergeCell ref="AT100:AU100"/>
    <mergeCell ref="AV100:AW100"/>
    <mergeCell ref="Z100:AA100"/>
    <mergeCell ref="AB100:AC100"/>
    <mergeCell ref="AD100:AE100"/>
    <mergeCell ref="AF100:AG100"/>
    <mergeCell ref="AH100:AI100"/>
    <mergeCell ref="AJ100:AK100"/>
    <mergeCell ref="N100:O100"/>
    <mergeCell ref="P100:Q100"/>
    <mergeCell ref="R100:S100"/>
    <mergeCell ref="T100:U100"/>
    <mergeCell ref="V100:W100"/>
    <mergeCell ref="X100:Y100"/>
    <mergeCell ref="B100:C100"/>
    <mergeCell ref="D100:E100"/>
    <mergeCell ref="F100:G100"/>
    <mergeCell ref="H100:I100"/>
    <mergeCell ref="J100:K100"/>
    <mergeCell ref="L100:M100"/>
    <mergeCell ref="AL67:AM67"/>
    <mergeCell ref="AN67:AO67"/>
    <mergeCell ref="AP67:AQ67"/>
    <mergeCell ref="AR67:AS67"/>
    <mergeCell ref="AT67:AU67"/>
    <mergeCell ref="AV67:AW67"/>
    <mergeCell ref="Z67:AA67"/>
    <mergeCell ref="AB67:AC67"/>
    <mergeCell ref="AD67:AE67"/>
    <mergeCell ref="AF67:AG67"/>
    <mergeCell ref="AH67:AI67"/>
    <mergeCell ref="AJ67:AK67"/>
    <mergeCell ref="N67:O67"/>
    <mergeCell ref="P67:Q67"/>
    <mergeCell ref="R67:S67"/>
    <mergeCell ref="T67:U67"/>
    <mergeCell ref="V67:W67"/>
    <mergeCell ref="X67:Y67"/>
    <mergeCell ref="B67:C67"/>
    <mergeCell ref="D67:E67"/>
    <mergeCell ref="F67:G67"/>
    <mergeCell ref="H67:I67"/>
    <mergeCell ref="J67:K67"/>
    <mergeCell ref="L67:M67"/>
    <mergeCell ref="AL34:AM34"/>
    <mergeCell ref="AN34:AO34"/>
    <mergeCell ref="AP34:AQ34"/>
    <mergeCell ref="AR34:AS34"/>
    <mergeCell ref="AT34:AU34"/>
    <mergeCell ref="AV34:AW34"/>
    <mergeCell ref="Z34:AA34"/>
    <mergeCell ref="AB34:AC34"/>
    <mergeCell ref="AD34:AE34"/>
    <mergeCell ref="AF34:AG34"/>
    <mergeCell ref="AH34:AI34"/>
    <mergeCell ref="AJ34:AK34"/>
    <mergeCell ref="N34:O34"/>
    <mergeCell ref="P34:Q34"/>
    <mergeCell ref="R34:S34"/>
    <mergeCell ref="T34:U34"/>
    <mergeCell ref="V34:W34"/>
    <mergeCell ref="X34:Y34"/>
    <mergeCell ref="B34:C34"/>
    <mergeCell ref="D34:E34"/>
    <mergeCell ref="F34:G34"/>
    <mergeCell ref="H34:I34"/>
    <mergeCell ref="J34:K34"/>
    <mergeCell ref="L34:M34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EAA5-7F13-44E6-A253-1576B73BEE5B}">
  <sheetPr>
    <tabColor theme="0" tint="-0.499984740745262"/>
  </sheetPr>
  <dimension ref="A1:O45"/>
  <sheetViews>
    <sheetView topLeftCell="A7" zoomScaleNormal="100" workbookViewId="0">
      <selection activeCell="J43" sqref="J43"/>
    </sheetView>
  </sheetViews>
  <sheetFormatPr defaultRowHeight="13.5" x14ac:dyDescent="0.15"/>
  <sheetData>
    <row r="1" spans="1:15" x14ac:dyDescent="0.15">
      <c r="A1" s="75" t="s">
        <v>141</v>
      </c>
      <c r="B1" s="75"/>
      <c r="C1" s="76"/>
      <c r="D1" s="77"/>
      <c r="E1" s="76"/>
    </row>
    <row r="2" spans="1:15" x14ac:dyDescent="0.15">
      <c r="A2" s="75" t="s">
        <v>142</v>
      </c>
      <c r="B2" s="75"/>
      <c r="C2" s="76"/>
      <c r="D2" s="78" t="s">
        <v>143</v>
      </c>
      <c r="E2" s="76"/>
    </row>
    <row r="3" spans="1:15" x14ac:dyDescent="0.15">
      <c r="A3" s="75" t="s">
        <v>144</v>
      </c>
      <c r="B3" s="75"/>
      <c r="C3" s="76"/>
      <c r="D3" s="78" t="s">
        <v>145</v>
      </c>
      <c r="E3" s="76"/>
    </row>
    <row r="4" spans="1:15" x14ac:dyDescent="0.15">
      <c r="A4" s="75" t="s">
        <v>146</v>
      </c>
      <c r="B4" s="75"/>
      <c r="C4" s="76"/>
      <c r="D4" s="79">
        <f>9.9*22</f>
        <v>217.8</v>
      </c>
      <c r="E4" s="76" t="s">
        <v>147</v>
      </c>
      <c r="G4" s="80">
        <v>10</v>
      </c>
      <c r="H4" s="80">
        <v>9.9</v>
      </c>
      <c r="J4" s="81"/>
      <c r="M4" s="81"/>
    </row>
    <row r="5" spans="1:15" x14ac:dyDescent="0.15">
      <c r="A5" s="82" t="s">
        <v>148</v>
      </c>
      <c r="B5" s="75"/>
      <c r="C5" s="76"/>
      <c r="D5" s="79">
        <f>0.38*880</f>
        <v>334.4</v>
      </c>
      <c r="E5" s="76" t="s">
        <v>147</v>
      </c>
      <c r="G5" s="80">
        <v>379</v>
      </c>
      <c r="H5" s="83">
        <v>0.315</v>
      </c>
    </row>
    <row r="7" spans="1:15" x14ac:dyDescent="0.15">
      <c r="A7" s="83"/>
      <c r="B7" s="83" t="s">
        <v>149</v>
      </c>
      <c r="C7" s="83" t="s">
        <v>126</v>
      </c>
      <c r="D7" s="83" t="s">
        <v>127</v>
      </c>
      <c r="E7" s="83" t="s">
        <v>129</v>
      </c>
      <c r="F7" s="83" t="s">
        <v>130</v>
      </c>
      <c r="G7" s="83" t="s">
        <v>135</v>
      </c>
      <c r="H7" s="83" t="s">
        <v>136</v>
      </c>
      <c r="I7" s="83" t="s">
        <v>137</v>
      </c>
      <c r="J7" s="83" t="s">
        <v>132</v>
      </c>
      <c r="K7" s="83" t="s">
        <v>133</v>
      </c>
      <c r="L7" s="83" t="s">
        <v>150</v>
      </c>
      <c r="M7" s="83" t="s">
        <v>151</v>
      </c>
      <c r="N7" s="83" t="s">
        <v>152</v>
      </c>
    </row>
    <row r="8" spans="1:15" x14ac:dyDescent="0.15">
      <c r="A8" s="83" t="s">
        <v>153</v>
      </c>
      <c r="B8" s="80">
        <v>1.31</v>
      </c>
      <c r="C8" s="80">
        <v>1.87</v>
      </c>
      <c r="D8" s="80">
        <v>2.85</v>
      </c>
      <c r="E8" s="80">
        <v>4</v>
      </c>
      <c r="F8" s="84">
        <v>5.27</v>
      </c>
      <c r="G8" s="80">
        <v>5.35</v>
      </c>
      <c r="H8" s="80">
        <v>4.7300000000000004</v>
      </c>
      <c r="I8" s="80">
        <v>4.83</v>
      </c>
      <c r="J8" s="80">
        <v>3.97</v>
      </c>
      <c r="K8" s="80">
        <v>2.79</v>
      </c>
      <c r="L8" s="80">
        <v>1.69</v>
      </c>
      <c r="M8" s="80">
        <v>1.1299999999999999</v>
      </c>
      <c r="N8" s="83">
        <f>SUM(B8:M8)</f>
        <v>39.79</v>
      </c>
    </row>
    <row r="9" spans="1:15" x14ac:dyDescent="0.15">
      <c r="A9" s="83" t="s">
        <v>154</v>
      </c>
      <c r="B9" s="85">
        <v>12228</v>
      </c>
      <c r="C9" s="85">
        <v>15579</v>
      </c>
      <c r="D9" s="85">
        <v>25619</v>
      </c>
      <c r="E9" s="85">
        <v>33182</v>
      </c>
      <c r="F9" s="85">
        <v>43902</v>
      </c>
      <c r="G9" s="85">
        <v>42868</v>
      </c>
      <c r="H9" s="85">
        <v>39248</v>
      </c>
      <c r="I9" s="85">
        <v>40571</v>
      </c>
      <c r="J9" s="85">
        <v>33064</v>
      </c>
      <c r="K9" s="85">
        <v>24989</v>
      </c>
      <c r="L9" s="85">
        <v>15036</v>
      </c>
      <c r="M9" s="85">
        <v>10450</v>
      </c>
      <c r="N9" s="86">
        <f>SUM(B9:M9)</f>
        <v>336736</v>
      </c>
      <c r="O9" s="87">
        <f>AVERAGE(B9:M9)</f>
        <v>28061.333333333332</v>
      </c>
    </row>
    <row r="10" spans="1:15" x14ac:dyDescent="0.15">
      <c r="B10" t="s">
        <v>122</v>
      </c>
      <c r="C10" t="s">
        <v>122</v>
      </c>
      <c r="D10" t="s">
        <v>122</v>
      </c>
      <c r="E10" t="s">
        <v>128</v>
      </c>
      <c r="F10" t="s">
        <v>128</v>
      </c>
      <c r="G10" t="s">
        <v>134</v>
      </c>
      <c r="H10" t="s">
        <v>134</v>
      </c>
      <c r="I10" t="s">
        <v>134</v>
      </c>
      <c r="J10" t="s">
        <v>131</v>
      </c>
      <c r="K10" t="s">
        <v>131</v>
      </c>
      <c r="L10" t="s">
        <v>122</v>
      </c>
      <c r="M10" t="s">
        <v>122</v>
      </c>
    </row>
    <row r="12" spans="1:15" x14ac:dyDescent="0.15">
      <c r="A12" s="83" t="s">
        <v>155</v>
      </c>
      <c r="B12" s="88">
        <v>12.375</v>
      </c>
      <c r="C12" s="88">
        <f>B12</f>
        <v>12.375</v>
      </c>
      <c r="D12" s="88">
        <f>B12</f>
        <v>12.375</v>
      </c>
      <c r="F12" s="89"/>
      <c r="G12" s="89"/>
      <c r="H12" s="89"/>
    </row>
    <row r="13" spans="1:15" x14ac:dyDescent="0.15">
      <c r="A13" s="83" t="s">
        <v>156</v>
      </c>
      <c r="B13" s="90">
        <v>0.95</v>
      </c>
      <c r="C13" s="90">
        <v>0.95</v>
      </c>
      <c r="D13" s="90">
        <v>0.95</v>
      </c>
      <c r="F13" s="176"/>
      <c r="G13" s="176"/>
      <c r="H13" s="176"/>
      <c r="M13" s="91"/>
    </row>
    <row r="14" spans="1:15" x14ac:dyDescent="0.15">
      <c r="A14" s="83" t="s">
        <v>157</v>
      </c>
      <c r="B14" s="90">
        <v>0.95</v>
      </c>
      <c r="C14" s="90">
        <v>0.95</v>
      </c>
      <c r="D14" s="90">
        <v>0.95</v>
      </c>
      <c r="F14" s="90" t="s">
        <v>158</v>
      </c>
      <c r="H14" s="90" t="s">
        <v>159</v>
      </c>
      <c r="J14" s="90" t="s">
        <v>160</v>
      </c>
      <c r="K14" s="91"/>
    </row>
    <row r="15" spans="1:15" x14ac:dyDescent="0.15">
      <c r="A15" s="92"/>
      <c r="B15" s="93" t="s">
        <v>161</v>
      </c>
      <c r="C15" s="93" t="s">
        <v>134</v>
      </c>
      <c r="D15" s="93" t="s">
        <v>122</v>
      </c>
      <c r="F15" s="94" t="s">
        <v>161</v>
      </c>
      <c r="H15" s="94" t="s">
        <v>134</v>
      </c>
      <c r="J15" s="94" t="s">
        <v>122</v>
      </c>
      <c r="K15" s="91"/>
    </row>
    <row r="16" spans="1:15" x14ac:dyDescent="0.15">
      <c r="A16" s="177" t="s">
        <v>162</v>
      </c>
      <c r="B16" s="174" t="s">
        <v>163</v>
      </c>
      <c r="C16" s="174" t="s">
        <v>163</v>
      </c>
      <c r="D16" s="174" t="s">
        <v>163</v>
      </c>
      <c r="E16" s="177" t="s">
        <v>162</v>
      </c>
      <c r="F16" s="174" t="s">
        <v>164</v>
      </c>
      <c r="H16" s="174" t="s">
        <v>164</v>
      </c>
      <c r="J16" s="174" t="s">
        <v>164</v>
      </c>
      <c r="K16" s="91"/>
      <c r="N16" s="95"/>
    </row>
    <row r="17" spans="1:14" x14ac:dyDescent="0.15">
      <c r="A17" s="178"/>
      <c r="B17" s="175"/>
      <c r="C17" s="175"/>
      <c r="D17" s="175"/>
      <c r="E17" s="178"/>
      <c r="F17" s="175"/>
      <c r="H17" s="175"/>
      <c r="J17" s="175"/>
      <c r="K17" s="91"/>
    </row>
    <row r="18" spans="1:14" x14ac:dyDescent="0.15">
      <c r="A18" s="94">
        <v>1</v>
      </c>
      <c r="B18" s="96">
        <v>0</v>
      </c>
      <c r="C18" s="97">
        <v>0</v>
      </c>
      <c r="D18" s="98">
        <v>0</v>
      </c>
      <c r="E18" s="94">
        <v>1</v>
      </c>
      <c r="F18" s="99">
        <f>$F$42*G18</f>
        <v>0</v>
      </c>
      <c r="G18" s="100">
        <v>0</v>
      </c>
      <c r="H18" s="99">
        <f t="shared" ref="H18:H41" si="0">$H$42*I18</f>
        <v>0</v>
      </c>
      <c r="I18" s="100">
        <v>0</v>
      </c>
      <c r="J18" s="99">
        <f t="shared" ref="J18:J41" si="1">$J$42*K18</f>
        <v>0</v>
      </c>
      <c r="K18" s="100">
        <v>0</v>
      </c>
      <c r="M18" s="100"/>
    </row>
    <row r="19" spans="1:14" x14ac:dyDescent="0.15">
      <c r="A19" s="94">
        <v>2</v>
      </c>
      <c r="B19" s="96">
        <v>0</v>
      </c>
      <c r="C19" s="97">
        <v>0</v>
      </c>
      <c r="D19" s="98">
        <v>0</v>
      </c>
      <c r="E19" s="94">
        <v>2</v>
      </c>
      <c r="F19" s="99">
        <f t="shared" ref="F19:F41" si="2">$F$42*G19</f>
        <v>0</v>
      </c>
      <c r="G19" s="100">
        <v>0</v>
      </c>
      <c r="H19" s="99">
        <f t="shared" si="0"/>
        <v>0</v>
      </c>
      <c r="I19" s="100">
        <v>0</v>
      </c>
      <c r="J19" s="99">
        <f t="shared" si="1"/>
        <v>0</v>
      </c>
      <c r="K19" s="100">
        <v>0</v>
      </c>
      <c r="M19" s="100"/>
      <c r="N19" s="95"/>
    </row>
    <row r="20" spans="1:14" x14ac:dyDescent="0.15">
      <c r="A20" s="94">
        <v>3</v>
      </c>
      <c r="B20" s="96">
        <v>0</v>
      </c>
      <c r="C20" s="97">
        <v>0</v>
      </c>
      <c r="D20" s="98">
        <v>0</v>
      </c>
      <c r="E20" s="94">
        <v>3</v>
      </c>
      <c r="F20" s="99">
        <f t="shared" si="2"/>
        <v>0</v>
      </c>
      <c r="G20" s="100">
        <v>0</v>
      </c>
      <c r="H20" s="99">
        <f t="shared" si="0"/>
        <v>0</v>
      </c>
      <c r="I20" s="100">
        <v>0</v>
      </c>
      <c r="J20" s="99">
        <f t="shared" si="1"/>
        <v>0</v>
      </c>
      <c r="K20" s="100">
        <v>0</v>
      </c>
      <c r="M20" s="100"/>
    </row>
    <row r="21" spans="1:14" x14ac:dyDescent="0.15">
      <c r="A21" s="94">
        <v>4</v>
      </c>
      <c r="B21" s="96">
        <v>0</v>
      </c>
      <c r="C21" s="97">
        <v>0</v>
      </c>
      <c r="D21" s="98">
        <v>0</v>
      </c>
      <c r="E21" s="94">
        <v>4</v>
      </c>
      <c r="F21" s="99">
        <f t="shared" si="2"/>
        <v>0</v>
      </c>
      <c r="G21" s="100">
        <v>0</v>
      </c>
      <c r="H21" s="99">
        <f t="shared" si="0"/>
        <v>0</v>
      </c>
      <c r="I21" s="100">
        <v>0</v>
      </c>
      <c r="J21" s="99">
        <f t="shared" si="1"/>
        <v>0</v>
      </c>
      <c r="K21" s="100">
        <v>0</v>
      </c>
      <c r="M21" s="100"/>
    </row>
    <row r="22" spans="1:14" x14ac:dyDescent="0.15">
      <c r="A22" s="94">
        <v>5</v>
      </c>
      <c r="B22" s="96">
        <v>0</v>
      </c>
      <c r="C22" s="97">
        <v>0.02</v>
      </c>
      <c r="D22" s="98">
        <v>0</v>
      </c>
      <c r="E22" s="94">
        <v>5</v>
      </c>
      <c r="F22" s="99">
        <f t="shared" si="2"/>
        <v>0</v>
      </c>
      <c r="G22" s="100">
        <v>0</v>
      </c>
      <c r="H22" s="99">
        <f t="shared" si="0"/>
        <v>2.6218976729291209E-2</v>
      </c>
      <c r="I22" s="100">
        <v>1.9233561058924001E-5</v>
      </c>
      <c r="J22" s="99">
        <f t="shared" si="1"/>
        <v>0</v>
      </c>
      <c r="K22" s="100">
        <v>0</v>
      </c>
      <c r="M22" s="100"/>
    </row>
    <row r="23" spans="1:14" x14ac:dyDescent="0.15">
      <c r="A23" s="94">
        <v>6</v>
      </c>
      <c r="B23" s="96">
        <v>0.11</v>
      </c>
      <c r="C23" s="97">
        <v>0.26</v>
      </c>
      <c r="D23" s="98">
        <v>0</v>
      </c>
      <c r="E23" s="94">
        <v>6</v>
      </c>
      <c r="F23" s="99">
        <f>$F$42*G23</f>
        <v>2.3514222525209665E-2</v>
      </c>
      <c r="G23" s="100">
        <v>1.6061801118210863E-5</v>
      </c>
      <c r="H23" s="99">
        <f t="shared" si="0"/>
        <v>0.13259311088812981</v>
      </c>
      <c r="I23" s="100">
        <v>9.7266865926558499E-5</v>
      </c>
      <c r="J23" s="99">
        <f t="shared" si="1"/>
        <v>0</v>
      </c>
      <c r="K23" s="100">
        <v>0</v>
      </c>
      <c r="M23" s="100"/>
    </row>
    <row r="24" spans="1:14" x14ac:dyDescent="0.15">
      <c r="A24" s="94">
        <v>7</v>
      </c>
      <c r="B24" s="96">
        <v>0.69</v>
      </c>
      <c r="C24" s="97">
        <v>0.92</v>
      </c>
      <c r="D24" s="98">
        <v>0</v>
      </c>
      <c r="E24" s="94">
        <v>7</v>
      </c>
      <c r="F24" s="99">
        <f t="shared" si="2"/>
        <v>4.031009575750228E-2</v>
      </c>
      <c r="G24" s="100">
        <v>2.753451620264719E-5</v>
      </c>
      <c r="H24" s="99">
        <f t="shared" si="0"/>
        <v>0.2899069712638771</v>
      </c>
      <c r="I24" s="100">
        <v>2.1266823228010252E-4</v>
      </c>
      <c r="J24" s="99">
        <f t="shared" si="1"/>
        <v>5.0061235859326916E-3</v>
      </c>
      <c r="K24" s="100">
        <v>5.4825578643442031E-6</v>
      </c>
      <c r="M24" s="100"/>
    </row>
    <row r="25" spans="1:14" x14ac:dyDescent="0.15">
      <c r="A25" s="94">
        <v>8</v>
      </c>
      <c r="B25" s="96">
        <v>1.43</v>
      </c>
      <c r="C25" s="97">
        <v>1.65</v>
      </c>
      <c r="D25" s="98">
        <v>0.09</v>
      </c>
      <c r="E25" s="94">
        <v>8</v>
      </c>
      <c r="F25" s="99">
        <f t="shared" si="2"/>
        <v>9.6744229818005456E-2</v>
      </c>
      <c r="G25" s="100">
        <v>6.6082838886353254E-5</v>
      </c>
      <c r="H25" s="99">
        <f>$H$42*I25</f>
        <v>44.946817250213499</v>
      </c>
      <c r="I25" s="100">
        <v>3.297181895815543E-2</v>
      </c>
      <c r="J25" s="99">
        <f t="shared" si="1"/>
        <v>8.0097977374923066E-2</v>
      </c>
      <c r="K25" s="100">
        <v>8.772092582950725E-5</v>
      </c>
      <c r="M25" s="100"/>
    </row>
    <row r="26" spans="1:14" x14ac:dyDescent="0.15">
      <c r="A26" s="94">
        <v>9</v>
      </c>
      <c r="B26" s="96">
        <v>2.19</v>
      </c>
      <c r="C26" s="97">
        <v>2.2999999999999998</v>
      </c>
      <c r="D26" s="98">
        <v>0.78</v>
      </c>
      <c r="E26" s="94">
        <v>9</v>
      </c>
      <c r="F26" s="99">
        <f>$F$42*G26</f>
        <v>32.248076606001831</v>
      </c>
      <c r="G26" s="100">
        <v>2.2027612962117759E-2</v>
      </c>
      <c r="H26" s="99">
        <f t="shared" si="0"/>
        <v>58.430862425277546</v>
      </c>
      <c r="I26" s="100">
        <v>4.2863364645602052E-2</v>
      </c>
      <c r="J26" s="99">
        <f t="shared" si="1"/>
        <v>39.548376328868272</v>
      </c>
      <c r="K26" s="100">
        <v>4.3312207128319208E-2</v>
      </c>
      <c r="M26" s="100"/>
    </row>
    <row r="27" spans="1:14" x14ac:dyDescent="0.15">
      <c r="A27" s="94">
        <v>10</v>
      </c>
      <c r="B27" s="96">
        <v>2.81</v>
      </c>
      <c r="C27" s="97">
        <v>2.88</v>
      </c>
      <c r="D27" s="98">
        <v>1.39</v>
      </c>
      <c r="E27" s="94">
        <v>10</v>
      </c>
      <c r="F27" s="99">
        <f>$F$42*G27</f>
        <v>77.126649882687687</v>
      </c>
      <c r="G27" s="100">
        <v>5.2682707667731622E-2</v>
      </c>
      <c r="H27" s="99">
        <f t="shared" si="0"/>
        <v>82.327586929974373</v>
      </c>
      <c r="I27" s="100">
        <v>6.0393381725021344E-2</v>
      </c>
      <c r="J27" s="99">
        <f>$J$42*K27</f>
        <v>95.005100941922663</v>
      </c>
      <c r="K27" s="100">
        <v>0.10404676480333223</v>
      </c>
      <c r="M27" s="100"/>
    </row>
    <row r="28" spans="1:14" x14ac:dyDescent="0.15">
      <c r="A28" s="94">
        <v>11</v>
      </c>
      <c r="B28" s="96">
        <v>3.21</v>
      </c>
      <c r="C28" s="97">
        <v>3.23</v>
      </c>
      <c r="D28" s="98">
        <v>1.76</v>
      </c>
      <c r="E28" s="94">
        <v>11</v>
      </c>
      <c r="F28" s="99">
        <f>$F$42*G28</f>
        <v>257.98461284801454</v>
      </c>
      <c r="G28" s="100">
        <v>0.17622090369694199</v>
      </c>
      <c r="H28" s="99">
        <f>$H$42*I28</f>
        <v>104.27661602049531</v>
      </c>
      <c r="I28" s="100">
        <v>7.6494619982920592E-2</v>
      </c>
      <c r="J28" s="99">
        <f>$J$42*K28</f>
        <v>166.87078619775642</v>
      </c>
      <c r="K28" s="100">
        <v>0.18275192881147345</v>
      </c>
      <c r="M28" s="100"/>
    </row>
    <row r="29" spans="1:14" x14ac:dyDescent="0.15">
      <c r="A29" s="94">
        <v>12</v>
      </c>
      <c r="B29" s="96">
        <v>3.45</v>
      </c>
      <c r="C29" s="97">
        <v>3.48</v>
      </c>
      <c r="D29" s="98">
        <v>2.02</v>
      </c>
      <c r="E29" s="94">
        <v>12</v>
      </c>
      <c r="F29" s="99">
        <f t="shared" si="2"/>
        <v>268.73397171668194</v>
      </c>
      <c r="G29" s="100">
        <v>0.18356344135098132</v>
      </c>
      <c r="H29" s="99">
        <f t="shared" si="0"/>
        <v>268.93178988044406</v>
      </c>
      <c r="I29" s="100">
        <v>0.19728138343296328</v>
      </c>
      <c r="J29" s="99">
        <f t="shared" si="1"/>
        <v>177.16115134661806</v>
      </c>
      <c r="K29" s="100">
        <v>0.19402163108818099</v>
      </c>
      <c r="M29" s="100"/>
    </row>
    <row r="30" spans="1:14" x14ac:dyDescent="0.15">
      <c r="A30" s="94">
        <v>13</v>
      </c>
      <c r="B30" s="96">
        <v>3.42</v>
      </c>
      <c r="C30" s="97">
        <v>3.44</v>
      </c>
      <c r="D30" s="98">
        <v>1.8</v>
      </c>
      <c r="E30" s="94">
        <v>13</v>
      </c>
      <c r="F30" s="99">
        <f t="shared" si="2"/>
        <v>257.98461284801459</v>
      </c>
      <c r="G30" s="100">
        <v>0.17622090369694204</v>
      </c>
      <c r="H30" s="99">
        <f t="shared" si="0"/>
        <v>262.18976729291205</v>
      </c>
      <c r="I30" s="100">
        <v>0.19233561058923998</v>
      </c>
      <c r="J30" s="99">
        <f t="shared" si="1"/>
        <v>166.87078619775642</v>
      </c>
      <c r="K30" s="100">
        <v>0.18275192881147345</v>
      </c>
      <c r="M30" s="100"/>
    </row>
    <row r="31" spans="1:14" x14ac:dyDescent="0.15">
      <c r="A31" s="94">
        <v>14</v>
      </c>
      <c r="B31" s="96">
        <v>3.11</v>
      </c>
      <c r="C31" s="97">
        <v>3</v>
      </c>
      <c r="D31" s="98">
        <v>1.72</v>
      </c>
      <c r="E31" s="94">
        <v>14</v>
      </c>
      <c r="F31" s="99">
        <f t="shared" si="2"/>
        <v>228.42387595917961</v>
      </c>
      <c r="G31" s="100">
        <v>0.15602892514833411</v>
      </c>
      <c r="H31" s="99">
        <f t="shared" si="0"/>
        <v>179.78726900085397</v>
      </c>
      <c r="I31" s="100">
        <v>0.13188727583262169</v>
      </c>
      <c r="J31" s="99">
        <f>$J$42*K31</f>
        <v>137.94651659014531</v>
      </c>
      <c r="K31" s="100">
        <v>0.15107492781748472</v>
      </c>
      <c r="M31" s="100"/>
    </row>
    <row r="32" spans="1:14" x14ac:dyDescent="0.15">
      <c r="A32" s="94">
        <v>15</v>
      </c>
      <c r="B32" s="96">
        <v>2.66</v>
      </c>
      <c r="C32" s="97">
        <v>2.72</v>
      </c>
      <c r="D32" s="98">
        <v>1.28</v>
      </c>
      <c r="E32" s="94">
        <v>15</v>
      </c>
      <c r="F32" s="99">
        <f t="shared" si="2"/>
        <v>180.05176105017688</v>
      </c>
      <c r="G32" s="100">
        <v>0.12298750570515748</v>
      </c>
      <c r="H32" s="99">
        <f t="shared" si="0"/>
        <v>170.42334874039284</v>
      </c>
      <c r="I32" s="100">
        <v>0.125018146883006</v>
      </c>
      <c r="J32" s="99">
        <f t="shared" si="1"/>
        <v>91.500814431769768</v>
      </c>
      <c r="K32" s="100">
        <v>0.10020897429829127</v>
      </c>
      <c r="M32" s="100"/>
    </row>
    <row r="33" spans="1:13" x14ac:dyDescent="0.15">
      <c r="A33" s="94">
        <v>16</v>
      </c>
      <c r="B33" s="96">
        <v>2.0099999999999998</v>
      </c>
      <c r="C33" s="97">
        <v>2.1800000000000002</v>
      </c>
      <c r="D33" s="98">
        <v>0.45</v>
      </c>
      <c r="E33" s="94">
        <v>16</v>
      </c>
      <c r="F33" s="99">
        <f>$F$42*G33</f>
        <v>118.24294755534004</v>
      </c>
      <c r="G33" s="100">
        <v>8.0767914194431772E-2</v>
      </c>
      <c r="H33" s="99">
        <f t="shared" si="0"/>
        <v>134.84045175064048</v>
      </c>
      <c r="I33" s="100">
        <v>9.8915456874466276E-2</v>
      </c>
      <c r="J33" s="99">
        <f t="shared" si="1"/>
        <v>38.102162848487716</v>
      </c>
      <c r="K33" s="100">
        <v>4.1728357078619771E-2</v>
      </c>
      <c r="M33" s="100"/>
    </row>
    <row r="34" spans="1:13" x14ac:dyDescent="0.15">
      <c r="A34" s="94">
        <v>17</v>
      </c>
      <c r="B34" s="96">
        <v>1.24</v>
      </c>
      <c r="C34" s="97">
        <v>1.48</v>
      </c>
      <c r="D34" s="98">
        <v>0.12</v>
      </c>
      <c r="E34" s="94">
        <v>17</v>
      </c>
      <c r="F34" s="99">
        <f t="shared" si="2"/>
        <v>42.997435474669103</v>
      </c>
      <c r="G34" s="100">
        <v>2.9370150616157008E-2</v>
      </c>
      <c r="H34" s="99">
        <f t="shared" si="0"/>
        <v>56.18352156276687</v>
      </c>
      <c r="I34" s="100">
        <v>4.1214773697694281E-2</v>
      </c>
      <c r="J34" s="99">
        <f>$J$42*K34</f>
        <v>8.3435393098878208E-3</v>
      </c>
      <c r="K34" s="100">
        <v>9.1375964405736719E-6</v>
      </c>
      <c r="M34" s="100"/>
    </row>
    <row r="35" spans="1:13" x14ac:dyDescent="0.15">
      <c r="A35" s="94">
        <v>18</v>
      </c>
      <c r="B35" s="96">
        <v>0.53</v>
      </c>
      <c r="C35" s="97">
        <v>0.7</v>
      </c>
      <c r="D35" s="98">
        <v>0</v>
      </c>
      <c r="E35" s="94">
        <v>18</v>
      </c>
      <c r="F35" s="99">
        <f t="shared" si="2"/>
        <v>2.3514222525209665E-2</v>
      </c>
      <c r="G35" s="100">
        <v>1.6061801118210863E-5</v>
      </c>
      <c r="H35" s="99">
        <f t="shared" si="0"/>
        <v>0.28840874402220323</v>
      </c>
      <c r="I35" s="100">
        <v>2.1156917164816396E-4</v>
      </c>
      <c r="J35" s="99">
        <f t="shared" si="1"/>
        <v>0</v>
      </c>
      <c r="K35" s="100">
        <v>0</v>
      </c>
      <c r="M35" s="100"/>
    </row>
    <row r="36" spans="1:13" x14ac:dyDescent="0.15">
      <c r="A36" s="94">
        <v>19</v>
      </c>
      <c r="B36" s="96">
        <v>0.04</v>
      </c>
      <c r="C36" s="97">
        <v>0.05</v>
      </c>
      <c r="D36" s="98">
        <v>0</v>
      </c>
      <c r="E36" s="94">
        <v>19</v>
      </c>
      <c r="F36" s="99">
        <f t="shared" si="2"/>
        <v>0</v>
      </c>
      <c r="G36" s="100">
        <v>0</v>
      </c>
      <c r="H36" s="99">
        <f t="shared" si="0"/>
        <v>0.1030031228650726</v>
      </c>
      <c r="I36" s="100">
        <v>7.5560418445772852E-5</v>
      </c>
      <c r="J36" s="99">
        <f t="shared" si="1"/>
        <v>0</v>
      </c>
      <c r="K36" s="100">
        <v>0</v>
      </c>
      <c r="M36" s="100"/>
    </row>
    <row r="37" spans="1:13" x14ac:dyDescent="0.15">
      <c r="A37" s="94">
        <v>20</v>
      </c>
      <c r="B37" s="96">
        <v>0</v>
      </c>
      <c r="C37" s="97">
        <v>0</v>
      </c>
      <c r="D37" s="98">
        <v>0</v>
      </c>
      <c r="E37" s="94">
        <v>20</v>
      </c>
      <c r="F37" s="99">
        <f t="shared" si="2"/>
        <v>0</v>
      </c>
      <c r="G37" s="100">
        <v>0</v>
      </c>
      <c r="H37" s="99">
        <f t="shared" si="0"/>
        <v>0</v>
      </c>
      <c r="I37" s="100">
        <v>0</v>
      </c>
      <c r="J37" s="99">
        <f t="shared" si="1"/>
        <v>0</v>
      </c>
      <c r="K37" s="100">
        <v>0</v>
      </c>
      <c r="M37" s="100"/>
    </row>
    <row r="38" spans="1:13" x14ac:dyDescent="0.15">
      <c r="A38" s="94">
        <v>21</v>
      </c>
      <c r="B38" s="96">
        <v>0</v>
      </c>
      <c r="C38" s="97">
        <v>0</v>
      </c>
      <c r="D38" s="98">
        <v>0</v>
      </c>
      <c r="E38" s="94">
        <v>21</v>
      </c>
      <c r="F38" s="99">
        <f t="shared" si="2"/>
        <v>0</v>
      </c>
      <c r="G38" s="100">
        <v>0</v>
      </c>
      <c r="H38" s="99">
        <f t="shared" si="0"/>
        <v>0</v>
      </c>
      <c r="I38" s="100">
        <v>0</v>
      </c>
      <c r="J38" s="99">
        <f>$J$42*K38</f>
        <v>0</v>
      </c>
      <c r="K38" s="100">
        <v>0</v>
      </c>
      <c r="M38" s="100"/>
    </row>
    <row r="39" spans="1:13" x14ac:dyDescent="0.15">
      <c r="A39" s="94">
        <v>22</v>
      </c>
      <c r="B39" s="96">
        <v>0</v>
      </c>
      <c r="C39" s="97">
        <v>0</v>
      </c>
      <c r="D39" s="98">
        <v>0</v>
      </c>
      <c r="E39" s="94">
        <v>22</v>
      </c>
      <c r="F39" s="99">
        <f t="shared" si="2"/>
        <v>0</v>
      </c>
      <c r="G39" s="100">
        <v>0</v>
      </c>
      <c r="H39" s="99">
        <f t="shared" si="0"/>
        <v>0</v>
      </c>
      <c r="I39" s="100">
        <v>0</v>
      </c>
      <c r="J39" s="99">
        <f t="shared" si="1"/>
        <v>0</v>
      </c>
      <c r="K39" s="100">
        <v>0</v>
      </c>
      <c r="M39" s="100"/>
    </row>
    <row r="40" spans="1:13" x14ac:dyDescent="0.15">
      <c r="A40" s="94">
        <v>23</v>
      </c>
      <c r="B40" s="96">
        <v>0</v>
      </c>
      <c r="C40" s="97">
        <v>0</v>
      </c>
      <c r="D40" s="98">
        <v>0</v>
      </c>
      <c r="E40" s="94">
        <v>23</v>
      </c>
      <c r="F40" s="99">
        <f t="shared" si="2"/>
        <v>0</v>
      </c>
      <c r="G40" s="100">
        <v>0</v>
      </c>
      <c r="H40" s="99">
        <f t="shared" si="0"/>
        <v>0</v>
      </c>
      <c r="I40" s="100">
        <v>0</v>
      </c>
      <c r="J40" s="99">
        <f t="shared" si="1"/>
        <v>0</v>
      </c>
      <c r="K40" s="100">
        <v>0</v>
      </c>
      <c r="M40" s="100"/>
    </row>
    <row r="41" spans="1:13" x14ac:dyDescent="0.15">
      <c r="A41" s="94">
        <v>24</v>
      </c>
      <c r="B41" s="96">
        <v>0</v>
      </c>
      <c r="C41" s="97">
        <v>0</v>
      </c>
      <c r="D41" s="98">
        <v>0</v>
      </c>
      <c r="E41" s="94">
        <v>24</v>
      </c>
      <c r="F41" s="99">
        <f t="shared" si="2"/>
        <v>0</v>
      </c>
      <c r="G41" s="100">
        <v>0</v>
      </c>
      <c r="H41" s="99">
        <f t="shared" si="0"/>
        <v>0</v>
      </c>
      <c r="I41" s="100">
        <v>0</v>
      </c>
      <c r="J41" s="99">
        <f t="shared" si="1"/>
        <v>0</v>
      </c>
      <c r="K41" s="100">
        <v>0</v>
      </c>
      <c r="M41" s="100"/>
    </row>
    <row r="42" spans="1:13" x14ac:dyDescent="0.15">
      <c r="A42" s="94" t="s">
        <v>120</v>
      </c>
      <c r="B42" s="96">
        <f>SUM(B18:B41)</f>
        <v>26.900000000000002</v>
      </c>
      <c r="C42" s="97">
        <f>SUM(C18:C41)</f>
        <v>28.310000000000002</v>
      </c>
      <c r="D42" s="98">
        <f>SUM(D18:D41)</f>
        <v>11.409999999999997</v>
      </c>
      <c r="E42" s="94" t="s">
        <v>120</v>
      </c>
      <c r="F42" s="101">
        <f>((E9+F9+J9+K9)/4)/30*1.3</f>
        <v>1463.9841666666666</v>
      </c>
      <c r="H42" s="101">
        <f>((G9+H9+I9)/3)/30</f>
        <v>1363.1888888888889</v>
      </c>
      <c r="J42" s="101">
        <f>((J9+K9+L9+M9+B9+C9+D9)/7)/30*1.4</f>
        <v>913.1</v>
      </c>
    </row>
    <row r="43" spans="1:13" x14ac:dyDescent="0.15">
      <c r="A43" s="94" t="s">
        <v>4</v>
      </c>
      <c r="B43" s="90">
        <f>MAX(B18:B41)</f>
        <v>3.45</v>
      </c>
      <c r="C43" s="90">
        <f>MAX(C18:C41)</f>
        <v>3.48</v>
      </c>
      <c r="D43" s="90">
        <f>MAX(D18:D41)</f>
        <v>2.02</v>
      </c>
      <c r="E43" s="94" t="s">
        <v>4</v>
      </c>
      <c r="F43" s="90">
        <f>MAX(F18:F41)</f>
        <v>268.73397171668194</v>
      </c>
      <c r="H43" s="90">
        <f>MAX(H18:H41)</f>
        <v>268.93178988044406</v>
      </c>
      <c r="J43" s="90">
        <f>MAX(J18:J41)</f>
        <v>177.16115134661806</v>
      </c>
    </row>
    <row r="44" spans="1:13" x14ac:dyDescent="0.15">
      <c r="A44" s="89"/>
      <c r="B44" s="102"/>
      <c r="C44" s="102"/>
      <c r="D44" s="102"/>
      <c r="E44" s="89"/>
      <c r="F44" s="102"/>
      <c r="G44" s="102"/>
      <c r="H44" s="102"/>
      <c r="I44" s="102"/>
    </row>
    <row r="45" spans="1:13" x14ac:dyDescent="0.15">
      <c r="A45" t="s">
        <v>165</v>
      </c>
      <c r="I45" s="102"/>
    </row>
  </sheetData>
  <mergeCells count="9">
    <mergeCell ref="J16:J17"/>
    <mergeCell ref="F13:H13"/>
    <mergeCell ref="A16:A17"/>
    <mergeCell ref="B16:B17"/>
    <mergeCell ref="C16:C17"/>
    <mergeCell ref="D16:D17"/>
    <mergeCell ref="E16:E17"/>
    <mergeCell ref="F16:F17"/>
    <mergeCell ref="H16:H17"/>
  </mergeCells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"/>
  <sheetViews>
    <sheetView zoomScaleNormal="100" zoomScaleSheetLayoutView="100" workbookViewId="0">
      <selection activeCell="O29" sqref="O29"/>
    </sheetView>
  </sheetViews>
  <sheetFormatPr defaultColWidth="9" defaultRowHeight="13.5" x14ac:dyDescent="0.15"/>
  <cols>
    <col min="1" max="1" width="2.5" style="22" customWidth="1"/>
    <col min="2" max="2" width="3.5" style="22" customWidth="1"/>
    <col min="3" max="3" width="17" style="22" customWidth="1"/>
    <col min="4" max="4" width="5" style="22" customWidth="1"/>
    <col min="5" max="6" width="9" style="22"/>
    <col min="7" max="7" width="9.375" style="22" customWidth="1"/>
    <col min="8" max="9" width="9" style="22"/>
    <col min="10" max="10" width="7" style="22" customWidth="1"/>
    <col min="11" max="11" width="7.25" style="22" customWidth="1"/>
    <col min="12" max="12" width="3.125" style="22" customWidth="1"/>
    <col min="13" max="16384" width="9" style="22"/>
  </cols>
  <sheetData>
    <row r="1" spans="1:22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 t="s">
        <v>5</v>
      </c>
    </row>
    <row r="2" spans="1:22" ht="14.25" thickBo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04"/>
    </row>
    <row r="3" spans="1:22" x14ac:dyDescent="0.15">
      <c r="A3" s="14"/>
      <c r="B3" s="15"/>
      <c r="C3" s="15"/>
      <c r="D3" s="15"/>
      <c r="E3" s="15"/>
      <c r="F3" s="15"/>
      <c r="G3" s="15"/>
      <c r="H3" s="15"/>
      <c r="I3" s="15"/>
      <c r="J3" s="15"/>
      <c r="K3" s="16" t="s">
        <v>6</v>
      </c>
      <c r="L3" s="42"/>
    </row>
    <row r="4" spans="1:22" ht="18.75" customHeight="1" x14ac:dyDescent="0.15">
      <c r="A4" s="140" t="s">
        <v>7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9"/>
    </row>
    <row r="5" spans="1:22" ht="22.5" customHeight="1" x14ac:dyDescent="0.15">
      <c r="A5" s="6"/>
      <c r="B5" s="3"/>
      <c r="C5" s="3"/>
      <c r="D5" s="3"/>
      <c r="E5" s="3"/>
      <c r="F5" s="43"/>
      <c r="G5" s="3"/>
      <c r="H5" s="40" t="s">
        <v>1</v>
      </c>
      <c r="I5" s="8"/>
      <c r="J5" s="187"/>
      <c r="K5" s="187"/>
      <c r="L5" s="9"/>
    </row>
    <row r="6" spans="1:22" ht="22.5" customHeight="1" x14ac:dyDescent="0.15">
      <c r="A6" s="6"/>
      <c r="B6" s="3"/>
      <c r="C6" s="3"/>
      <c r="D6" s="3"/>
      <c r="E6" s="3"/>
      <c r="F6" s="3"/>
      <c r="G6" s="44"/>
      <c r="H6" s="8"/>
      <c r="I6" s="45" t="s">
        <v>8</v>
      </c>
      <c r="J6" s="129" t="s">
        <v>9</v>
      </c>
      <c r="K6" s="130"/>
      <c r="L6" s="131"/>
      <c r="N6" s="195"/>
      <c r="O6" s="196"/>
      <c r="P6" s="196"/>
      <c r="Q6" s="196"/>
      <c r="R6"/>
      <c r="S6" s="192"/>
      <c r="T6" s="193"/>
      <c r="U6" s="193"/>
      <c r="V6" s="193"/>
    </row>
    <row r="7" spans="1:22" ht="18.75" customHeight="1" x14ac:dyDescent="0.15">
      <c r="A7" s="1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9"/>
    </row>
    <row r="8" spans="1:22" ht="18.75" customHeight="1" x14ac:dyDescent="0.15">
      <c r="A8" s="6"/>
      <c r="B8" s="132" t="s">
        <v>11</v>
      </c>
      <c r="C8" s="132"/>
      <c r="D8" s="133"/>
      <c r="E8" s="133"/>
      <c r="F8" s="133"/>
      <c r="G8" s="133"/>
      <c r="H8" s="142"/>
      <c r="I8" s="125"/>
      <c r="J8" s="125"/>
      <c r="K8" s="125"/>
      <c r="L8" s="9"/>
    </row>
    <row r="9" spans="1:22" ht="18.75" customHeight="1" x14ac:dyDescent="0.15">
      <c r="A9" s="6"/>
      <c r="B9" s="132" t="s">
        <v>12</v>
      </c>
      <c r="C9" s="132"/>
      <c r="D9" s="133"/>
      <c r="E9" s="133"/>
      <c r="F9" s="133"/>
      <c r="G9" s="133"/>
      <c r="H9" s="125"/>
      <c r="I9" s="125"/>
      <c r="J9" s="125"/>
      <c r="K9" s="125"/>
      <c r="L9" s="9"/>
    </row>
    <row r="10" spans="1:22" ht="18.75" customHeight="1" x14ac:dyDescent="0.15">
      <c r="A10" s="6"/>
      <c r="B10" s="132" t="s">
        <v>13</v>
      </c>
      <c r="C10" s="132"/>
      <c r="D10" s="133"/>
      <c r="E10" s="133"/>
      <c r="F10" s="133"/>
      <c r="G10" s="133"/>
      <c r="H10" s="136" t="s">
        <v>3</v>
      </c>
      <c r="I10" s="143"/>
      <c r="J10" s="143"/>
      <c r="K10" s="143"/>
      <c r="L10" s="9"/>
    </row>
    <row r="11" spans="1:22" ht="18.75" customHeight="1" x14ac:dyDescent="0.15">
      <c r="A11" s="6"/>
      <c r="B11" s="121" t="s">
        <v>14</v>
      </c>
      <c r="C11" s="121"/>
      <c r="D11" s="137"/>
      <c r="E11" s="137"/>
      <c r="F11" s="137"/>
      <c r="G11" s="137"/>
      <c r="H11" s="138" t="s">
        <v>117</v>
      </c>
      <c r="I11" s="124"/>
      <c r="J11" s="124"/>
      <c r="K11" s="124"/>
      <c r="L11" s="9"/>
    </row>
    <row r="12" spans="1:22" ht="18.75" customHeight="1" x14ac:dyDescent="0.15">
      <c r="A12" s="6"/>
      <c r="B12" s="139"/>
      <c r="C12" s="139"/>
      <c r="D12" s="139"/>
      <c r="E12" s="139"/>
      <c r="F12" s="139"/>
      <c r="G12" s="139"/>
      <c r="H12" s="135" t="s">
        <v>15</v>
      </c>
      <c r="I12" s="135"/>
      <c r="J12" s="135"/>
      <c r="K12" s="135"/>
      <c r="L12" s="9"/>
    </row>
    <row r="13" spans="1:22" ht="18.75" customHeight="1" x14ac:dyDescent="0.15">
      <c r="A13" s="6"/>
      <c r="B13" s="132" t="s">
        <v>16</v>
      </c>
      <c r="C13" s="132"/>
      <c r="D13" s="133"/>
      <c r="E13" s="133"/>
      <c r="F13" s="133"/>
      <c r="G13" s="133"/>
      <c r="H13" s="120" t="s">
        <v>17</v>
      </c>
      <c r="I13" s="125"/>
      <c r="J13" s="125"/>
      <c r="K13" s="125"/>
      <c r="L13" s="9"/>
    </row>
    <row r="14" spans="1:22" ht="18.75" customHeight="1" x14ac:dyDescent="0.15">
      <c r="A14" s="6"/>
      <c r="B14" s="132" t="s">
        <v>18</v>
      </c>
      <c r="C14" s="132"/>
      <c r="D14" s="133"/>
      <c r="E14" s="133"/>
      <c r="F14" s="133"/>
      <c r="G14" s="133"/>
      <c r="H14" s="125"/>
      <c r="I14" s="125"/>
      <c r="J14" s="125"/>
      <c r="K14" s="125"/>
      <c r="L14" s="9"/>
    </row>
    <row r="15" spans="1:22" x14ac:dyDescent="0.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9"/>
    </row>
    <row r="16" spans="1:22" ht="18.75" customHeight="1" x14ac:dyDescent="0.15">
      <c r="A16" s="1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9"/>
    </row>
    <row r="17" spans="1:12" ht="18.75" customHeight="1" x14ac:dyDescent="0.15">
      <c r="A17" s="1" t="s">
        <v>2</v>
      </c>
      <c r="B17" s="132" t="s">
        <v>20</v>
      </c>
      <c r="C17" s="132"/>
      <c r="D17" s="133"/>
      <c r="E17" s="133"/>
      <c r="F17" s="133"/>
      <c r="G17" s="133"/>
      <c r="H17" s="136" t="s">
        <v>118</v>
      </c>
      <c r="I17" s="136"/>
      <c r="J17" s="136"/>
      <c r="K17" s="136"/>
      <c r="L17" s="9"/>
    </row>
    <row r="18" spans="1:12" ht="18.75" customHeight="1" x14ac:dyDescent="0.15">
      <c r="A18" s="6"/>
      <c r="B18" s="144" t="s">
        <v>21</v>
      </c>
      <c r="C18" s="113"/>
      <c r="D18" s="113"/>
      <c r="E18" s="113"/>
      <c r="F18" s="113"/>
      <c r="G18" s="114"/>
      <c r="H18" s="145" t="s">
        <v>119</v>
      </c>
      <c r="I18" s="146"/>
      <c r="J18" s="146"/>
      <c r="K18" s="147"/>
      <c r="L18" s="9"/>
    </row>
    <row r="19" spans="1:12" ht="18.75" customHeight="1" x14ac:dyDescent="0.15">
      <c r="A19" s="6"/>
      <c r="B19" s="152" t="s">
        <v>22</v>
      </c>
      <c r="C19" s="152"/>
      <c r="D19" s="137"/>
      <c r="E19" s="137"/>
      <c r="F19" s="154" t="s">
        <v>23</v>
      </c>
      <c r="G19" s="155"/>
      <c r="H19" s="188"/>
      <c r="I19" s="188"/>
      <c r="J19" s="188"/>
      <c r="K19" s="188"/>
      <c r="L19" s="9"/>
    </row>
    <row r="20" spans="1:12" ht="18.75" customHeight="1" x14ac:dyDescent="0.15">
      <c r="A20" s="6"/>
      <c r="B20" s="153"/>
      <c r="C20" s="153"/>
      <c r="D20" s="153"/>
      <c r="E20" s="153"/>
      <c r="F20" s="156" t="s">
        <v>24</v>
      </c>
      <c r="G20" s="153"/>
      <c r="H20" s="197"/>
      <c r="I20" s="197"/>
      <c r="J20" s="197"/>
      <c r="K20" s="197"/>
      <c r="L20" s="9"/>
    </row>
    <row r="21" spans="1:12" ht="18.75" customHeight="1" x14ac:dyDescent="0.15">
      <c r="A21" s="6"/>
      <c r="B21" s="132" t="s">
        <v>25</v>
      </c>
      <c r="C21" s="132"/>
      <c r="D21" s="133"/>
      <c r="E21" s="133"/>
      <c r="F21" s="133"/>
      <c r="G21" s="133"/>
      <c r="H21" s="150"/>
      <c r="I21" s="151"/>
      <c r="J21" s="151"/>
      <c r="K21" s="151"/>
      <c r="L21" s="9"/>
    </row>
    <row r="22" spans="1:12" x14ac:dyDescent="0.15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9"/>
    </row>
    <row r="23" spans="1:12" ht="18.75" customHeight="1" x14ac:dyDescent="0.15">
      <c r="A23" s="1" t="s">
        <v>27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9"/>
    </row>
    <row r="24" spans="1:12" ht="18.75" customHeight="1" x14ac:dyDescent="0.15">
      <c r="A24" s="6"/>
      <c r="B24" s="189" t="s">
        <v>28</v>
      </c>
      <c r="C24" s="48" t="s">
        <v>29</v>
      </c>
      <c r="D24" s="145" t="s">
        <v>30</v>
      </c>
      <c r="E24" s="146"/>
      <c r="F24" s="146"/>
      <c r="G24" s="146"/>
      <c r="H24" s="146"/>
      <c r="I24" s="146"/>
      <c r="J24" s="146"/>
      <c r="K24" s="147"/>
      <c r="L24" s="9"/>
    </row>
    <row r="25" spans="1:12" ht="18.75" customHeight="1" x14ac:dyDescent="0.15">
      <c r="A25" s="6"/>
      <c r="B25" s="190"/>
      <c r="C25" s="48" t="s">
        <v>31</v>
      </c>
      <c r="D25" s="145" t="s">
        <v>32</v>
      </c>
      <c r="E25" s="146"/>
      <c r="F25" s="146"/>
      <c r="G25" s="146"/>
      <c r="H25" s="146"/>
      <c r="I25" s="146"/>
      <c r="J25" s="146"/>
      <c r="K25" s="147"/>
      <c r="L25" s="9"/>
    </row>
    <row r="26" spans="1:12" ht="18.75" customHeight="1" x14ac:dyDescent="0.15">
      <c r="A26" s="6"/>
      <c r="B26" s="190"/>
      <c r="C26" s="48" t="s">
        <v>33</v>
      </c>
      <c r="D26" s="145" t="s">
        <v>34</v>
      </c>
      <c r="E26" s="146"/>
      <c r="F26" s="146"/>
      <c r="G26" s="146"/>
      <c r="H26" s="146"/>
      <c r="I26" s="146"/>
      <c r="J26" s="146"/>
      <c r="K26" s="147"/>
      <c r="L26" s="9"/>
    </row>
    <row r="27" spans="1:12" ht="26.25" customHeight="1" x14ac:dyDescent="0.15">
      <c r="A27" s="6"/>
      <c r="B27" s="190"/>
      <c r="C27" s="46" t="s">
        <v>35</v>
      </c>
      <c r="D27" s="145" t="s">
        <v>34</v>
      </c>
      <c r="E27" s="146"/>
      <c r="F27" s="146"/>
      <c r="G27" s="146"/>
      <c r="H27" s="146"/>
      <c r="I27" s="146"/>
      <c r="J27" s="146"/>
      <c r="K27" s="147"/>
      <c r="L27" s="9"/>
    </row>
    <row r="28" spans="1:12" ht="18.75" customHeight="1" x14ac:dyDescent="0.15">
      <c r="A28" s="6"/>
      <c r="B28" s="190"/>
      <c r="C28" s="48" t="s">
        <v>36</v>
      </c>
      <c r="D28" s="145" t="s">
        <v>37</v>
      </c>
      <c r="E28" s="166"/>
      <c r="F28" s="194"/>
      <c r="G28" s="142" t="s">
        <v>38</v>
      </c>
      <c r="H28" s="125"/>
      <c r="I28" s="148"/>
      <c r="J28" s="170"/>
      <c r="K28" s="171"/>
      <c r="L28" s="9"/>
    </row>
    <row r="29" spans="1:12" ht="18.75" customHeight="1" x14ac:dyDescent="0.15">
      <c r="A29" s="6"/>
      <c r="B29" s="191"/>
      <c r="C29" s="39" t="s">
        <v>39</v>
      </c>
      <c r="D29" s="167" t="s">
        <v>40</v>
      </c>
      <c r="E29" s="168"/>
      <c r="F29" s="168"/>
      <c r="G29" s="168"/>
      <c r="H29" s="168"/>
      <c r="I29" s="168"/>
      <c r="J29" s="168"/>
      <c r="K29" s="169"/>
      <c r="L29" s="9"/>
    </row>
    <row r="30" spans="1:12" ht="18.75" customHeight="1" x14ac:dyDescent="0.15">
      <c r="A30" s="6"/>
      <c r="B30" s="179" t="s">
        <v>41</v>
      </c>
      <c r="C30" s="180"/>
      <c r="D30" s="144" t="s">
        <v>42</v>
      </c>
      <c r="E30" s="113"/>
      <c r="F30" s="113"/>
      <c r="G30" s="113"/>
      <c r="H30" s="113"/>
      <c r="I30" s="113"/>
      <c r="J30" s="113"/>
      <c r="K30" s="47" t="s">
        <v>26</v>
      </c>
      <c r="L30" s="9"/>
    </row>
    <row r="31" spans="1:12" ht="18.75" customHeight="1" x14ac:dyDescent="0.15">
      <c r="A31" s="6"/>
      <c r="B31" s="185"/>
      <c r="C31" s="186"/>
      <c r="D31" s="144" t="s">
        <v>43</v>
      </c>
      <c r="E31" s="113"/>
      <c r="F31" s="113"/>
      <c r="G31" s="113"/>
      <c r="H31" s="113"/>
      <c r="I31" s="113"/>
      <c r="J31" s="113"/>
      <c r="K31" s="47" t="s">
        <v>26</v>
      </c>
      <c r="L31" s="9"/>
    </row>
    <row r="32" spans="1:12" ht="18.75" customHeight="1" x14ac:dyDescent="0.15">
      <c r="A32" s="6"/>
      <c r="B32" s="185"/>
      <c r="C32" s="186"/>
      <c r="D32" s="144" t="s">
        <v>44</v>
      </c>
      <c r="E32" s="113"/>
      <c r="F32" s="113"/>
      <c r="G32" s="113"/>
      <c r="H32" s="113"/>
      <c r="I32" s="113"/>
      <c r="J32" s="113"/>
      <c r="K32" s="47" t="s">
        <v>26</v>
      </c>
      <c r="L32" s="9"/>
    </row>
    <row r="33" spans="1:12" ht="18.75" customHeight="1" x14ac:dyDescent="0.15">
      <c r="A33" s="6"/>
      <c r="B33" s="185"/>
      <c r="C33" s="186"/>
      <c r="D33" s="144" t="s">
        <v>45</v>
      </c>
      <c r="E33" s="113"/>
      <c r="F33" s="113"/>
      <c r="G33" s="113"/>
      <c r="H33" s="113"/>
      <c r="I33" s="113"/>
      <c r="J33" s="113"/>
      <c r="K33" s="47" t="s">
        <v>46</v>
      </c>
      <c r="L33" s="9"/>
    </row>
    <row r="34" spans="1:12" ht="18.75" customHeight="1" x14ac:dyDescent="0.15">
      <c r="A34" s="6"/>
      <c r="B34" s="185"/>
      <c r="C34" s="186"/>
      <c r="D34" s="144" t="s">
        <v>47</v>
      </c>
      <c r="E34" s="113"/>
      <c r="F34" s="113"/>
      <c r="G34" s="113"/>
      <c r="H34" s="113"/>
      <c r="I34" s="113"/>
      <c r="J34" s="113"/>
      <c r="K34" s="47" t="s">
        <v>46</v>
      </c>
      <c r="L34" s="9"/>
    </row>
    <row r="35" spans="1:12" ht="18.75" customHeight="1" x14ac:dyDescent="0.15">
      <c r="A35" s="6"/>
      <c r="B35" s="185"/>
      <c r="C35" s="186"/>
      <c r="D35" s="144" t="s">
        <v>48</v>
      </c>
      <c r="E35" s="113"/>
      <c r="F35" s="113"/>
      <c r="G35" s="113"/>
      <c r="H35" s="113"/>
      <c r="I35" s="113"/>
      <c r="J35" s="113"/>
      <c r="K35" s="47" t="s">
        <v>46</v>
      </c>
      <c r="L35" s="9"/>
    </row>
    <row r="36" spans="1:12" ht="18.75" customHeight="1" x14ac:dyDescent="0.15">
      <c r="A36" s="6"/>
      <c r="B36" s="181"/>
      <c r="C36" s="182"/>
      <c r="D36" s="144" t="s">
        <v>49</v>
      </c>
      <c r="E36" s="183"/>
      <c r="F36" s="183"/>
      <c r="G36" s="183"/>
      <c r="H36" s="183"/>
      <c r="I36" s="183"/>
      <c r="J36" s="183"/>
      <c r="K36" s="184"/>
      <c r="L36" s="9"/>
    </row>
    <row r="37" spans="1:12" ht="18.75" customHeight="1" x14ac:dyDescent="0.15">
      <c r="A37" s="6"/>
      <c r="B37" s="179" t="s">
        <v>50</v>
      </c>
      <c r="C37" s="180"/>
      <c r="D37" s="144" t="s">
        <v>51</v>
      </c>
      <c r="E37" s="113"/>
      <c r="F37" s="113"/>
      <c r="G37" s="113"/>
      <c r="H37" s="113"/>
      <c r="I37" s="113"/>
      <c r="J37" s="113"/>
      <c r="K37" s="114"/>
      <c r="L37" s="9"/>
    </row>
    <row r="38" spans="1:12" ht="18.75" customHeight="1" x14ac:dyDescent="0.15">
      <c r="A38" s="6"/>
      <c r="B38" s="181"/>
      <c r="C38" s="182"/>
      <c r="D38" s="52" t="s">
        <v>52</v>
      </c>
      <c r="E38" s="20"/>
      <c r="F38" s="168" t="s">
        <v>53</v>
      </c>
      <c r="G38" s="170"/>
      <c r="H38" s="142" t="s">
        <v>54</v>
      </c>
      <c r="I38" s="125"/>
      <c r="J38" s="148"/>
      <c r="K38" s="171"/>
      <c r="L38" s="9"/>
    </row>
    <row r="39" spans="1:12" ht="17.25" customHeight="1" x14ac:dyDescent="0.15">
      <c r="A39" s="1" t="s">
        <v>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9"/>
    </row>
    <row r="40" spans="1:12" ht="14.25" thickBot="1" x14ac:dyDescent="0.2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2"/>
    </row>
  </sheetData>
  <mergeCells count="53">
    <mergeCell ref="S6:V6"/>
    <mergeCell ref="D29:K29"/>
    <mergeCell ref="D26:K26"/>
    <mergeCell ref="D28:F28"/>
    <mergeCell ref="B21:G21"/>
    <mergeCell ref="B11:G11"/>
    <mergeCell ref="N6:Q6"/>
    <mergeCell ref="H18:K18"/>
    <mergeCell ref="B17:G17"/>
    <mergeCell ref="H11:K11"/>
    <mergeCell ref="B12:G12"/>
    <mergeCell ref="H12:K12"/>
    <mergeCell ref="H17:K17"/>
    <mergeCell ref="B14:G14"/>
    <mergeCell ref="B13:G13"/>
    <mergeCell ref="H20:K20"/>
    <mergeCell ref="D25:K25"/>
    <mergeCell ref="B24:B29"/>
    <mergeCell ref="D27:K27"/>
    <mergeCell ref="H21:K21"/>
    <mergeCell ref="G28:H28"/>
    <mergeCell ref="I28:K28"/>
    <mergeCell ref="D24:K24"/>
    <mergeCell ref="H13:K13"/>
    <mergeCell ref="H14:K14"/>
    <mergeCell ref="F19:G19"/>
    <mergeCell ref="B18:G18"/>
    <mergeCell ref="B20:E20"/>
    <mergeCell ref="F20:G20"/>
    <mergeCell ref="B19:E19"/>
    <mergeCell ref="H19:K19"/>
    <mergeCell ref="A4:K4"/>
    <mergeCell ref="B8:G8"/>
    <mergeCell ref="B9:G9"/>
    <mergeCell ref="B10:G10"/>
    <mergeCell ref="H8:K8"/>
    <mergeCell ref="H9:K9"/>
    <mergeCell ref="H10:K10"/>
    <mergeCell ref="J6:L6"/>
    <mergeCell ref="J5:K5"/>
    <mergeCell ref="B37:C38"/>
    <mergeCell ref="D37:K37"/>
    <mergeCell ref="D30:J30"/>
    <mergeCell ref="D31:J31"/>
    <mergeCell ref="F38:G38"/>
    <mergeCell ref="H38:I38"/>
    <mergeCell ref="J38:K38"/>
    <mergeCell ref="D36:K36"/>
    <mergeCell ref="D32:J32"/>
    <mergeCell ref="B30:C36"/>
    <mergeCell ref="D35:J35"/>
    <mergeCell ref="D33:J33"/>
    <mergeCell ref="D34:J34"/>
  </mergeCells>
  <phoneticPr fontId="3"/>
  <pageMargins left="0.64" right="0.3" top="0.65" bottom="0.6" header="0.51200000000000001" footer="0.51200000000000001"/>
  <pageSetup paperSize="9" scale="10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41"/>
  <sheetViews>
    <sheetView zoomScaleNormal="100" zoomScaleSheetLayoutView="100" workbookViewId="0">
      <selection activeCell="O29" sqref="O29"/>
    </sheetView>
  </sheetViews>
  <sheetFormatPr defaultColWidth="9" defaultRowHeight="13.5" x14ac:dyDescent="0.15"/>
  <cols>
    <col min="1" max="1" width="2.5" style="22" customWidth="1"/>
    <col min="2" max="2" width="3.5" style="22" customWidth="1"/>
    <col min="3" max="3" width="16.375" style="22" customWidth="1"/>
    <col min="4" max="4" width="8.875" style="22" customWidth="1"/>
    <col min="5" max="11" width="9" style="22"/>
    <col min="12" max="12" width="2.25" style="22" customWidth="1"/>
    <col min="13" max="13" width="9" style="22" customWidth="1"/>
    <col min="14" max="16384" width="9" style="22"/>
  </cols>
  <sheetData>
    <row r="1" spans="1:12" ht="14.25" thickBo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 t="s">
        <v>5</v>
      </c>
    </row>
    <row r="2" spans="1:12" ht="14.25" thickBo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15"/>
      <c r="L2" s="103">
        <v>44622</v>
      </c>
    </row>
    <row r="3" spans="1:12" x14ac:dyDescent="0.1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9" t="s">
        <v>0</v>
      </c>
    </row>
    <row r="4" spans="1:12" ht="18.75" customHeight="1" x14ac:dyDescent="0.15">
      <c r="A4" s="140" t="s">
        <v>56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9"/>
    </row>
    <row r="5" spans="1:12" ht="12" customHeight="1" x14ac:dyDescent="0.15">
      <c r="A5" s="34"/>
      <c r="L5" s="33"/>
    </row>
    <row r="6" spans="1:12" ht="18" customHeight="1" x14ac:dyDescent="0.15">
      <c r="A6" s="34"/>
      <c r="B6" s="3"/>
      <c r="C6" s="3"/>
      <c r="D6" s="3"/>
      <c r="E6" s="3"/>
      <c r="F6" s="3"/>
      <c r="G6" s="43"/>
      <c r="H6" s="40" t="s">
        <v>1</v>
      </c>
      <c r="I6" s="8"/>
      <c r="J6" s="8"/>
      <c r="K6" s="8"/>
      <c r="L6" s="9"/>
    </row>
    <row r="7" spans="1:12" ht="18.75" customHeight="1" x14ac:dyDescent="0.15">
      <c r="A7" s="6"/>
      <c r="B7" s="3"/>
      <c r="C7" s="3"/>
      <c r="D7" s="3"/>
      <c r="E7" s="3"/>
      <c r="F7" s="3"/>
      <c r="G7" s="3"/>
      <c r="H7" s="8"/>
      <c r="I7" s="45" t="s">
        <v>8</v>
      </c>
      <c r="J7" s="129" t="s">
        <v>9</v>
      </c>
      <c r="K7" s="130"/>
      <c r="L7" s="131"/>
    </row>
    <row r="8" spans="1:12" ht="18.75" customHeight="1" x14ac:dyDescent="0.15">
      <c r="A8" s="1" t="s">
        <v>57</v>
      </c>
      <c r="B8" s="2"/>
      <c r="C8" s="2"/>
      <c r="D8" s="2"/>
      <c r="E8" s="2"/>
      <c r="F8" s="2"/>
      <c r="G8" s="2"/>
      <c r="H8" s="2"/>
      <c r="I8" s="2"/>
      <c r="J8" s="2"/>
      <c r="K8" s="2"/>
      <c r="L8" s="23"/>
    </row>
    <row r="9" spans="1:12" ht="21" customHeight="1" x14ac:dyDescent="0.15">
      <c r="A9" s="1"/>
      <c r="B9" s="132" t="s">
        <v>58</v>
      </c>
      <c r="C9" s="132"/>
      <c r="D9" s="132"/>
      <c r="E9" s="132"/>
      <c r="F9" s="132"/>
      <c r="G9" s="132"/>
      <c r="H9" s="120"/>
      <c r="I9" s="120"/>
      <c r="J9" s="120"/>
      <c r="K9" s="120"/>
      <c r="L9" s="23"/>
    </row>
    <row r="10" spans="1:12" ht="21" customHeight="1" x14ac:dyDescent="0.15">
      <c r="A10" s="1"/>
      <c r="B10" s="132" t="s">
        <v>59</v>
      </c>
      <c r="C10" s="132"/>
      <c r="D10" s="132"/>
      <c r="E10" s="132"/>
      <c r="F10" s="132"/>
      <c r="G10" s="132"/>
      <c r="H10" s="136" t="s">
        <v>60</v>
      </c>
      <c r="I10" s="136"/>
      <c r="J10" s="136"/>
      <c r="K10" s="136"/>
      <c r="L10" s="23"/>
    </row>
    <row r="11" spans="1:12" ht="9" customHeight="1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3"/>
    </row>
    <row r="12" spans="1:12" ht="21" customHeight="1" x14ac:dyDescent="0.15">
      <c r="A12" s="1" t="s">
        <v>61</v>
      </c>
      <c r="B12" s="51"/>
      <c r="C12" s="51"/>
      <c r="D12" s="2"/>
      <c r="E12" s="2"/>
      <c r="F12" s="2"/>
      <c r="G12" s="2"/>
      <c r="H12" s="24"/>
      <c r="I12" s="24"/>
      <c r="J12" s="24"/>
      <c r="K12" s="24"/>
      <c r="L12" s="23"/>
    </row>
    <row r="13" spans="1:12" ht="21" customHeight="1" x14ac:dyDescent="0.15">
      <c r="A13" s="1"/>
      <c r="B13" s="144" t="s">
        <v>62</v>
      </c>
      <c r="C13" s="114"/>
      <c r="D13" s="144" t="s">
        <v>63</v>
      </c>
      <c r="E13" s="113"/>
      <c r="F13" s="113"/>
      <c r="G13" s="113"/>
      <c r="H13" s="113"/>
      <c r="I13" s="113"/>
      <c r="J13" s="113"/>
      <c r="K13" s="114"/>
      <c r="L13" s="23"/>
    </row>
    <row r="14" spans="1:12" ht="21" customHeight="1" x14ac:dyDescent="0.15">
      <c r="A14" s="1"/>
      <c r="B14" s="144" t="s">
        <v>64</v>
      </c>
      <c r="C14" s="114"/>
      <c r="D14" s="126" t="s">
        <v>65</v>
      </c>
      <c r="E14" s="134"/>
      <c r="F14" s="134"/>
      <c r="G14" s="134"/>
      <c r="H14" s="134"/>
      <c r="I14" s="134"/>
      <c r="J14" s="134"/>
      <c r="K14" s="127"/>
      <c r="L14" s="23"/>
    </row>
    <row r="15" spans="1:12" ht="21" customHeight="1" x14ac:dyDescent="0.15">
      <c r="A15" s="1"/>
      <c r="B15" s="144" t="s">
        <v>66</v>
      </c>
      <c r="C15" s="157"/>
      <c r="D15" s="145" t="s">
        <v>67</v>
      </c>
      <c r="E15" s="146"/>
      <c r="F15" s="146"/>
      <c r="G15" s="146"/>
      <c r="H15" s="146"/>
      <c r="I15" s="146"/>
      <c r="J15" s="146"/>
      <c r="K15" s="147"/>
      <c r="L15" s="23"/>
    </row>
    <row r="16" spans="1:12" ht="21" customHeight="1" x14ac:dyDescent="0.15">
      <c r="A16" s="1"/>
      <c r="B16" s="149" t="s">
        <v>68</v>
      </c>
      <c r="C16" s="119"/>
      <c r="D16" s="145" t="s">
        <v>69</v>
      </c>
      <c r="E16" s="146"/>
      <c r="F16" s="146"/>
      <c r="G16" s="146"/>
      <c r="H16" s="146"/>
      <c r="I16" s="146"/>
      <c r="J16" s="146"/>
      <c r="K16" s="147"/>
      <c r="L16" s="23"/>
    </row>
    <row r="17" spans="1:15" ht="25.5" customHeight="1" x14ac:dyDescent="0.15">
      <c r="A17" s="1"/>
      <c r="B17" s="207" t="s">
        <v>70</v>
      </c>
      <c r="C17" s="208"/>
      <c r="D17" s="145" t="s">
        <v>69</v>
      </c>
      <c r="E17" s="146"/>
      <c r="F17" s="146"/>
      <c r="G17" s="146"/>
      <c r="H17" s="146"/>
      <c r="I17" s="146"/>
      <c r="J17" s="146"/>
      <c r="K17" s="147"/>
      <c r="L17" s="23"/>
    </row>
    <row r="18" spans="1:15" ht="21" customHeight="1" x14ac:dyDescent="0.15">
      <c r="A18" s="1"/>
      <c r="B18" s="144" t="s">
        <v>71</v>
      </c>
      <c r="C18" s="157"/>
      <c r="D18" s="145" t="s">
        <v>72</v>
      </c>
      <c r="E18" s="146"/>
      <c r="F18" s="146"/>
      <c r="G18" s="146"/>
      <c r="H18" s="146"/>
      <c r="I18" s="146"/>
      <c r="J18" s="146"/>
      <c r="K18" s="147"/>
      <c r="L18" s="23"/>
    </row>
    <row r="19" spans="1:15" ht="21" customHeight="1" x14ac:dyDescent="0.15">
      <c r="A19" s="1"/>
      <c r="B19" s="200" t="s">
        <v>73</v>
      </c>
      <c r="C19" s="48" t="s">
        <v>74</v>
      </c>
      <c r="D19" s="145" t="s">
        <v>75</v>
      </c>
      <c r="E19" s="146"/>
      <c r="F19" s="147"/>
      <c r="G19" s="120" t="s">
        <v>76</v>
      </c>
      <c r="H19" s="120"/>
      <c r="I19" s="167" t="s">
        <v>77</v>
      </c>
      <c r="J19" s="168"/>
      <c r="K19" s="169"/>
      <c r="L19" s="23"/>
    </row>
    <row r="20" spans="1:15" ht="21" customHeight="1" x14ac:dyDescent="0.15">
      <c r="A20" s="1"/>
      <c r="B20" s="201"/>
      <c r="C20" s="202" t="s">
        <v>78</v>
      </c>
      <c r="D20" s="122" t="s">
        <v>79</v>
      </c>
      <c r="E20" s="203"/>
      <c r="F20" s="203"/>
      <c r="G20" s="203"/>
      <c r="H20" s="203"/>
      <c r="I20" s="203"/>
      <c r="J20" s="203"/>
      <c r="K20" s="123"/>
      <c r="L20" s="23"/>
    </row>
    <row r="21" spans="1:15" ht="21" customHeight="1" x14ac:dyDescent="0.15">
      <c r="A21" s="1"/>
      <c r="B21" s="201"/>
      <c r="C21" s="202"/>
      <c r="D21" s="204" t="s">
        <v>80</v>
      </c>
      <c r="E21" s="205"/>
      <c r="F21" s="205"/>
      <c r="G21" s="205"/>
      <c r="H21" s="205"/>
      <c r="I21" s="205"/>
      <c r="J21" s="205"/>
      <c r="K21" s="206"/>
      <c r="L21" s="23"/>
      <c r="M21" s="3"/>
      <c r="N21" s="3"/>
      <c r="O21" s="3"/>
    </row>
    <row r="22" spans="1:15" ht="21" customHeight="1" x14ac:dyDescent="0.15">
      <c r="A22" s="1"/>
      <c r="B22" s="115" t="s">
        <v>81</v>
      </c>
      <c r="C22" s="116"/>
      <c r="D22" s="116"/>
      <c r="E22" s="116"/>
      <c r="F22" s="116"/>
      <c r="G22" s="117"/>
      <c r="H22" s="198" t="s">
        <v>82</v>
      </c>
      <c r="I22" s="146"/>
      <c r="J22" s="146"/>
      <c r="K22" s="147"/>
      <c r="L22" s="23"/>
    </row>
    <row r="23" spans="1:15" ht="21" customHeight="1" x14ac:dyDescent="0.15">
      <c r="A23" s="1"/>
      <c r="B23" s="121" t="s">
        <v>83</v>
      </c>
      <c r="C23" s="121"/>
      <c r="D23" s="152"/>
      <c r="E23" s="152"/>
      <c r="F23" s="152"/>
      <c r="G23" s="152"/>
      <c r="H23" s="199" t="s">
        <v>84</v>
      </c>
      <c r="I23" s="134"/>
      <c r="J23" s="134"/>
      <c r="K23" s="127"/>
      <c r="L23" s="23"/>
    </row>
    <row r="24" spans="1:15" ht="21" customHeight="1" x14ac:dyDescent="0.15">
      <c r="A24" s="1"/>
      <c r="B24" s="121" t="s">
        <v>85</v>
      </c>
      <c r="C24" s="121"/>
      <c r="D24" s="152"/>
      <c r="E24" s="152"/>
      <c r="F24" s="152"/>
      <c r="G24" s="152"/>
      <c r="H24" s="199" t="s">
        <v>84</v>
      </c>
      <c r="I24" s="134"/>
      <c r="J24" s="134"/>
      <c r="K24" s="127"/>
      <c r="L24" s="23"/>
    </row>
    <row r="25" spans="1:15" ht="21" customHeight="1" x14ac:dyDescent="0.15">
      <c r="A25" s="1"/>
      <c r="B25" s="144" t="s">
        <v>86</v>
      </c>
      <c r="C25" s="113"/>
      <c r="D25" s="113"/>
      <c r="E25" s="113"/>
      <c r="F25" s="113"/>
      <c r="G25" s="113"/>
      <c r="H25" s="120" t="s">
        <v>87</v>
      </c>
      <c r="I25" s="120"/>
      <c r="J25" s="120"/>
      <c r="K25" s="120"/>
      <c r="L25" s="23"/>
      <c r="M25" s="3"/>
      <c r="N25" s="3"/>
      <c r="O25" s="3"/>
    </row>
    <row r="26" spans="1:15" ht="21" customHeight="1" x14ac:dyDescent="0.15">
      <c r="A26" s="1"/>
      <c r="B26" s="132" t="s">
        <v>88</v>
      </c>
      <c r="C26" s="132"/>
      <c r="D26" s="132"/>
      <c r="E26" s="132"/>
      <c r="F26" s="132"/>
      <c r="G26" s="132"/>
      <c r="H26" s="120" t="s">
        <v>17</v>
      </c>
      <c r="I26" s="120"/>
      <c r="J26" s="120"/>
      <c r="K26" s="120"/>
      <c r="L26" s="23"/>
      <c r="M26" s="3"/>
      <c r="N26" s="3"/>
      <c r="O26" s="3"/>
    </row>
    <row r="27" spans="1:15" ht="21" customHeight="1" x14ac:dyDescent="0.15">
      <c r="A27" s="1"/>
      <c r="B27" s="209" t="s">
        <v>89</v>
      </c>
      <c r="C27" s="210"/>
      <c r="D27" s="210"/>
      <c r="E27" s="210"/>
      <c r="F27" s="210"/>
      <c r="G27" s="210"/>
      <c r="H27" s="134"/>
      <c r="I27" s="134"/>
      <c r="J27" s="134"/>
      <c r="K27" s="127"/>
      <c r="L27" s="23"/>
      <c r="M27" s="3"/>
      <c r="N27" s="3"/>
      <c r="O27" s="3"/>
    </row>
    <row r="28" spans="1:15" ht="21" customHeight="1" x14ac:dyDescent="0.15">
      <c r="A28" s="1"/>
      <c r="B28" s="25"/>
      <c r="C28" s="144" t="s">
        <v>90</v>
      </c>
      <c r="D28" s="113"/>
      <c r="E28" s="113"/>
      <c r="F28" s="114"/>
      <c r="G28" s="50" t="s">
        <v>91</v>
      </c>
      <c r="H28" s="145" t="s">
        <v>75</v>
      </c>
      <c r="I28" s="146"/>
      <c r="J28" s="146"/>
      <c r="K28" s="147"/>
      <c r="L28" s="23"/>
      <c r="M28" s="3"/>
      <c r="N28" s="3"/>
    </row>
    <row r="29" spans="1:15" ht="21" customHeight="1" x14ac:dyDescent="0.15">
      <c r="A29" s="1"/>
      <c r="B29" s="26" t="s">
        <v>92</v>
      </c>
      <c r="C29" s="53"/>
      <c r="D29" s="53"/>
      <c r="E29" s="53"/>
      <c r="F29" s="53"/>
      <c r="G29" s="53"/>
      <c r="H29" s="53"/>
      <c r="I29" s="53"/>
      <c r="J29" s="53"/>
      <c r="K29" s="54"/>
      <c r="L29" s="23"/>
      <c r="M29" s="3"/>
      <c r="N29" s="3"/>
    </row>
    <row r="30" spans="1:15" ht="21" customHeight="1" x14ac:dyDescent="0.15">
      <c r="A30" s="1"/>
      <c r="B30" s="21"/>
      <c r="C30" s="149" t="s">
        <v>93</v>
      </c>
      <c r="D30" s="118"/>
      <c r="E30" s="118"/>
      <c r="F30" s="119"/>
      <c r="G30" s="165" t="s">
        <v>94</v>
      </c>
      <c r="H30" s="165"/>
      <c r="I30" s="165"/>
      <c r="J30" s="165"/>
      <c r="K30" s="165"/>
      <c r="L30" s="23"/>
      <c r="M30" s="3"/>
      <c r="N30" s="3"/>
    </row>
    <row r="31" spans="1:15" ht="21" customHeight="1" x14ac:dyDescent="0.15">
      <c r="A31" s="1"/>
      <c r="B31" s="27"/>
      <c r="C31" s="160"/>
      <c r="D31" s="128"/>
      <c r="E31" s="128"/>
      <c r="F31" s="161"/>
      <c r="G31" s="164" t="s">
        <v>95</v>
      </c>
      <c r="H31" s="164"/>
      <c r="I31" s="164"/>
      <c r="J31" s="164"/>
      <c r="K31" s="164"/>
      <c r="L31" s="23"/>
      <c r="M31" s="3"/>
      <c r="N31" s="3"/>
    </row>
    <row r="32" spans="1:15" ht="21" customHeight="1" x14ac:dyDescent="0.15">
      <c r="A32" s="1"/>
      <c r="B32" s="27"/>
      <c r="C32" s="149" t="s">
        <v>96</v>
      </c>
      <c r="D32" s="118"/>
      <c r="E32" s="118"/>
      <c r="F32" s="119"/>
      <c r="G32" s="165" t="s">
        <v>97</v>
      </c>
      <c r="H32" s="165"/>
      <c r="I32" s="165"/>
      <c r="J32" s="165"/>
      <c r="K32" s="165"/>
      <c r="L32" s="23"/>
    </row>
    <row r="33" spans="1:12" ht="21" customHeight="1" x14ac:dyDescent="0.15">
      <c r="A33" s="1"/>
      <c r="B33" s="28"/>
      <c r="C33" s="160"/>
      <c r="D33" s="128"/>
      <c r="E33" s="128"/>
      <c r="F33" s="161"/>
      <c r="G33" s="211" t="s">
        <v>98</v>
      </c>
      <c r="H33" s="212"/>
      <c r="I33" s="212"/>
      <c r="J33" s="212"/>
      <c r="K33" s="213"/>
      <c r="L33" s="23"/>
    </row>
    <row r="34" spans="1:12" ht="21" customHeight="1" x14ac:dyDescent="0.15">
      <c r="A34" s="6"/>
      <c r="B34" s="144" t="s">
        <v>99</v>
      </c>
      <c r="C34" s="113"/>
      <c r="D34" s="113"/>
      <c r="E34" s="113"/>
      <c r="F34" s="114"/>
      <c r="G34" s="120" t="s">
        <v>17</v>
      </c>
      <c r="H34" s="120"/>
      <c r="I34" s="120"/>
      <c r="J34" s="120"/>
      <c r="K34" s="120"/>
      <c r="L34" s="9"/>
    </row>
    <row r="35" spans="1:12" ht="21" customHeight="1" x14ac:dyDescent="0.15">
      <c r="A35" s="1"/>
      <c r="B35" s="149" t="s">
        <v>100</v>
      </c>
      <c r="C35" s="118"/>
      <c r="D35" s="118"/>
      <c r="E35" s="118"/>
      <c r="F35" s="119"/>
      <c r="G35" s="56" t="s">
        <v>101</v>
      </c>
      <c r="H35" s="162" t="s">
        <v>75</v>
      </c>
      <c r="I35" s="162"/>
      <c r="J35" s="162"/>
      <c r="K35" s="162"/>
      <c r="L35" s="23"/>
    </row>
    <row r="36" spans="1:12" ht="21" customHeight="1" x14ac:dyDescent="0.15">
      <c r="A36" s="29"/>
      <c r="B36" s="160"/>
      <c r="C36" s="128"/>
      <c r="D36" s="128"/>
      <c r="E36" s="128"/>
      <c r="F36" s="161"/>
      <c r="G36" s="55" t="s">
        <v>102</v>
      </c>
      <c r="H36" s="163" t="s">
        <v>103</v>
      </c>
      <c r="I36" s="163"/>
      <c r="J36" s="163"/>
      <c r="K36" s="163"/>
      <c r="L36" s="30"/>
    </row>
    <row r="37" spans="1:12" ht="18.75" customHeight="1" x14ac:dyDescent="0.15">
      <c r="A37" s="1"/>
      <c r="B37" s="49"/>
      <c r="C37" s="49"/>
      <c r="D37" s="49"/>
      <c r="E37" s="49"/>
      <c r="F37" s="49"/>
      <c r="G37" s="4"/>
      <c r="H37" s="4"/>
      <c r="I37" s="4"/>
      <c r="J37" s="4"/>
      <c r="K37" s="4"/>
      <c r="L37" s="23"/>
    </row>
    <row r="38" spans="1:12" ht="18.75" customHeight="1" x14ac:dyDescent="0.15">
      <c r="A38" s="1" t="s">
        <v>104</v>
      </c>
      <c r="B38" s="31"/>
      <c r="C38" s="32"/>
      <c r="D38" s="2"/>
      <c r="E38" s="2"/>
      <c r="F38" s="41"/>
      <c r="G38" s="41"/>
      <c r="H38" s="41"/>
      <c r="I38" s="41"/>
      <c r="J38" s="41"/>
      <c r="K38" s="41"/>
      <c r="L38" s="33"/>
    </row>
    <row r="39" spans="1:12" ht="18.75" customHeight="1" x14ac:dyDescent="0.15">
      <c r="A39" s="34"/>
      <c r="B39" s="35" t="s">
        <v>105</v>
      </c>
      <c r="C39" s="158" t="s">
        <v>106</v>
      </c>
      <c r="D39" s="159"/>
      <c r="E39" s="159"/>
      <c r="F39" s="159"/>
      <c r="G39" s="159"/>
      <c r="H39" s="159"/>
      <c r="I39" s="159"/>
      <c r="J39" s="159"/>
      <c r="K39" s="159"/>
      <c r="L39" s="33"/>
    </row>
    <row r="40" spans="1:12" ht="18.75" customHeight="1" x14ac:dyDescent="0.15">
      <c r="A40" s="34"/>
      <c r="B40" s="35" t="s">
        <v>105</v>
      </c>
      <c r="C40" s="158" t="s">
        <v>107</v>
      </c>
      <c r="D40" s="159"/>
      <c r="E40" s="159"/>
      <c r="F40" s="159"/>
      <c r="G40" s="159"/>
      <c r="H40" s="159"/>
      <c r="I40" s="159"/>
      <c r="J40" s="159"/>
      <c r="K40" s="159"/>
      <c r="L40" s="33"/>
    </row>
    <row r="41" spans="1:12" ht="18.75" customHeight="1" thickBot="1" x14ac:dyDescent="0.2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8"/>
    </row>
  </sheetData>
  <mergeCells count="53">
    <mergeCell ref="C40:K40"/>
    <mergeCell ref="C39:K39"/>
    <mergeCell ref="J27:K27"/>
    <mergeCell ref="B27:G27"/>
    <mergeCell ref="H28:K28"/>
    <mergeCell ref="C28:F28"/>
    <mergeCell ref="H27:I27"/>
    <mergeCell ref="H36:K36"/>
    <mergeCell ref="H35:K35"/>
    <mergeCell ref="C32:F33"/>
    <mergeCell ref="G33:K33"/>
    <mergeCell ref="C30:F31"/>
    <mergeCell ref="A4:K4"/>
    <mergeCell ref="B10:G10"/>
    <mergeCell ref="H10:K10"/>
    <mergeCell ref="B9:G9"/>
    <mergeCell ref="H9:K9"/>
    <mergeCell ref="B13:C13"/>
    <mergeCell ref="D13:K13"/>
    <mergeCell ref="J7:L7"/>
    <mergeCell ref="B14:C14"/>
    <mergeCell ref="D14:K14"/>
    <mergeCell ref="B15:C15"/>
    <mergeCell ref="D15:K15"/>
    <mergeCell ref="D16:K16"/>
    <mergeCell ref="B18:C18"/>
    <mergeCell ref="D18:K18"/>
    <mergeCell ref="B16:C16"/>
    <mergeCell ref="B17:C17"/>
    <mergeCell ref="D17:K17"/>
    <mergeCell ref="B19:B21"/>
    <mergeCell ref="D19:F19"/>
    <mergeCell ref="G19:H19"/>
    <mergeCell ref="I19:K19"/>
    <mergeCell ref="C20:C21"/>
    <mergeCell ref="D20:K20"/>
    <mergeCell ref="D21:K21"/>
    <mergeCell ref="B25:G25"/>
    <mergeCell ref="B22:G22"/>
    <mergeCell ref="B35:F36"/>
    <mergeCell ref="B34:F34"/>
    <mergeCell ref="G34:K34"/>
    <mergeCell ref="H25:K25"/>
    <mergeCell ref="B26:G26"/>
    <mergeCell ref="H26:K26"/>
    <mergeCell ref="G32:K32"/>
    <mergeCell ref="G30:K30"/>
    <mergeCell ref="G31:K31"/>
    <mergeCell ref="H22:K22"/>
    <mergeCell ref="B23:G23"/>
    <mergeCell ref="H23:K23"/>
    <mergeCell ref="B24:G24"/>
    <mergeCell ref="H24:K24"/>
  </mergeCells>
  <phoneticPr fontId="3"/>
  <pageMargins left="0.64" right="0.3" top="0.65" bottom="0.6" header="0.51200000000000001" footer="0.51200000000000001"/>
  <pageSetup paperSize="9" scale="9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5"/>
  <sheetViews>
    <sheetView tabSelected="1" zoomScale="85" zoomScaleNormal="55" zoomScaleSheetLayoutView="85" zoomScalePageLayoutView="55" workbookViewId="0">
      <selection activeCell="O29" sqref="O29"/>
    </sheetView>
  </sheetViews>
  <sheetFormatPr defaultColWidth="9" defaultRowHeight="13.5" x14ac:dyDescent="0.15"/>
  <cols>
    <col min="1" max="19" width="9" style="3"/>
    <col min="20" max="20" width="2.625" style="3" customWidth="1"/>
    <col min="21" max="16384" width="9" style="3"/>
  </cols>
  <sheetData>
    <row r="1" spans="1:20" x14ac:dyDescent="0.15">
      <c r="T1" s="4" t="s">
        <v>109</v>
      </c>
    </row>
    <row r="2" spans="1:20" x14ac:dyDescent="0.15">
      <c r="L2" s="9"/>
    </row>
    <row r="3" spans="1:20" ht="14.25" thickBot="1" x14ac:dyDescent="0.2">
      <c r="M3" s="2" t="s">
        <v>110</v>
      </c>
      <c r="O3" s="2"/>
    </row>
    <row r="4" spans="1:20" ht="18.75" customHeight="1" x14ac:dyDescent="0.1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 t="s">
        <v>108</v>
      </c>
      <c r="T4" s="5"/>
    </row>
    <row r="5" spans="1:20" ht="18.75" customHeight="1" x14ac:dyDescent="0.15">
      <c r="A5" s="6"/>
      <c r="P5" s="7" t="s">
        <v>111</v>
      </c>
      <c r="Q5" s="8"/>
      <c r="R5" s="8"/>
      <c r="S5" s="8"/>
      <c r="T5" s="9"/>
    </row>
    <row r="6" spans="1:20" x14ac:dyDescent="0.15">
      <c r="A6" s="105" t="s">
        <v>112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9"/>
    </row>
    <row r="7" spans="1:20" x14ac:dyDescent="0.15">
      <c r="A7" s="109" t="s">
        <v>113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9"/>
    </row>
    <row r="8" spans="1:20" x14ac:dyDescent="0.15">
      <c r="A8" s="6"/>
      <c r="T8" s="9"/>
    </row>
    <row r="9" spans="1:20" x14ac:dyDescent="0.15">
      <c r="A9" s="6"/>
      <c r="T9" s="9"/>
    </row>
    <row r="10" spans="1:20" x14ac:dyDescent="0.15">
      <c r="A10" s="6"/>
      <c r="T10" s="9"/>
    </row>
    <row r="11" spans="1:20" x14ac:dyDescent="0.15">
      <c r="A11" s="6"/>
      <c r="T11" s="9"/>
    </row>
    <row r="12" spans="1:20" x14ac:dyDescent="0.15">
      <c r="A12" s="6"/>
      <c r="T12" s="9"/>
    </row>
    <row r="13" spans="1:20" x14ac:dyDescent="0.15">
      <c r="A13" s="6"/>
      <c r="T13" s="9"/>
    </row>
    <row r="14" spans="1:20" x14ac:dyDescent="0.15">
      <c r="A14" s="6"/>
      <c r="T14" s="9"/>
    </row>
    <row r="15" spans="1:20" x14ac:dyDescent="0.15">
      <c r="A15" s="6"/>
      <c r="T15" s="9"/>
    </row>
    <row r="16" spans="1:20" x14ac:dyDescent="0.15">
      <c r="A16" s="6"/>
      <c r="T16" s="9"/>
    </row>
    <row r="17" spans="1:20" x14ac:dyDescent="0.15">
      <c r="A17" s="6"/>
      <c r="T17" s="9"/>
    </row>
    <row r="18" spans="1:20" x14ac:dyDescent="0.15">
      <c r="A18" s="6"/>
      <c r="T18" s="9"/>
    </row>
    <row r="19" spans="1:20" x14ac:dyDescent="0.15">
      <c r="A19" s="6"/>
      <c r="T19" s="9"/>
    </row>
    <row r="20" spans="1:20" x14ac:dyDescent="0.15">
      <c r="A20" s="6"/>
      <c r="T20" s="9"/>
    </row>
    <row r="21" spans="1:20" x14ac:dyDescent="0.15">
      <c r="A21" s="6"/>
      <c r="T21" s="9"/>
    </row>
    <row r="22" spans="1:20" x14ac:dyDescent="0.15">
      <c r="A22" s="6"/>
      <c r="T22" s="9"/>
    </row>
    <row r="23" spans="1:20" x14ac:dyDescent="0.15">
      <c r="A23" s="6"/>
      <c r="T23" s="9"/>
    </row>
    <row r="24" spans="1:20" x14ac:dyDescent="0.15">
      <c r="A24" s="6"/>
      <c r="T24" s="9"/>
    </row>
    <row r="25" spans="1:20" x14ac:dyDescent="0.15">
      <c r="A25" s="6"/>
      <c r="T25" s="9"/>
    </row>
    <row r="26" spans="1:20" x14ac:dyDescent="0.15">
      <c r="A26" s="6"/>
      <c r="T26" s="9"/>
    </row>
    <row r="27" spans="1:20" x14ac:dyDescent="0.15">
      <c r="A27" s="6"/>
      <c r="T27" s="9"/>
    </row>
    <row r="28" spans="1:20" x14ac:dyDescent="0.15">
      <c r="A28" s="6"/>
      <c r="T28" s="9"/>
    </row>
    <row r="29" spans="1:20" x14ac:dyDescent="0.15">
      <c r="A29" s="6"/>
      <c r="T29" s="9"/>
    </row>
    <row r="30" spans="1:20" x14ac:dyDescent="0.15">
      <c r="A30" s="6"/>
      <c r="T30" s="9"/>
    </row>
    <row r="31" spans="1:20" x14ac:dyDescent="0.15">
      <c r="A31" s="6"/>
      <c r="T31" s="9"/>
    </row>
    <row r="32" spans="1:20" x14ac:dyDescent="0.15">
      <c r="A32" s="6"/>
      <c r="T32" s="9"/>
    </row>
    <row r="33" spans="1:20" x14ac:dyDescent="0.15">
      <c r="A33" s="6"/>
      <c r="T33" s="9"/>
    </row>
    <row r="34" spans="1:20" x14ac:dyDescent="0.15">
      <c r="A34" s="6"/>
      <c r="T34" s="9"/>
    </row>
    <row r="35" spans="1:20" x14ac:dyDescent="0.15">
      <c r="A35" s="6"/>
      <c r="T35" s="9"/>
    </row>
    <row r="36" spans="1:20" x14ac:dyDescent="0.15">
      <c r="A36" s="6"/>
      <c r="T36" s="9"/>
    </row>
    <row r="37" spans="1:20" x14ac:dyDescent="0.15">
      <c r="A37" s="6"/>
      <c r="T37" s="9"/>
    </row>
    <row r="38" spans="1:20" x14ac:dyDescent="0.15">
      <c r="A38" s="6"/>
      <c r="T38" s="9"/>
    </row>
    <row r="39" spans="1:20" x14ac:dyDescent="0.15">
      <c r="A39" s="6"/>
      <c r="T39" s="9"/>
    </row>
    <row r="40" spans="1:20" x14ac:dyDescent="0.15">
      <c r="A40" s="6"/>
      <c r="T40" s="9"/>
    </row>
    <row r="41" spans="1:20" x14ac:dyDescent="0.15">
      <c r="A41" s="6"/>
      <c r="T41" s="9"/>
    </row>
    <row r="42" spans="1:20" x14ac:dyDescent="0.15">
      <c r="A42" s="6"/>
      <c r="T42" s="9"/>
    </row>
    <row r="43" spans="1:20" x14ac:dyDescent="0.15">
      <c r="A43" s="6"/>
      <c r="T43" s="9"/>
    </row>
    <row r="44" spans="1:20" x14ac:dyDescent="0.15">
      <c r="A44" s="6"/>
      <c r="T44" s="9"/>
    </row>
    <row r="45" spans="1:20" x14ac:dyDescent="0.15">
      <c r="A45" s="6"/>
      <c r="T45" s="9"/>
    </row>
    <row r="46" spans="1:20" x14ac:dyDescent="0.15">
      <c r="A46" s="6"/>
      <c r="T46" s="9"/>
    </row>
    <row r="47" spans="1:20" x14ac:dyDescent="0.15">
      <c r="A47" s="6"/>
      <c r="T47" s="9"/>
    </row>
    <row r="48" spans="1:20" x14ac:dyDescent="0.15">
      <c r="A48" s="6"/>
      <c r="T48" s="9"/>
    </row>
    <row r="49" spans="1:20" x14ac:dyDescent="0.15">
      <c r="A49" s="6"/>
      <c r="T49" s="9"/>
    </row>
    <row r="50" spans="1:20" x14ac:dyDescent="0.15">
      <c r="A50" s="6"/>
      <c r="T50" s="9"/>
    </row>
    <row r="51" spans="1:20" x14ac:dyDescent="0.15">
      <c r="A51" s="6"/>
      <c r="T51" s="9"/>
    </row>
    <row r="52" spans="1:20" x14ac:dyDescent="0.15">
      <c r="A52" s="6"/>
      <c r="T52" s="9"/>
    </row>
    <row r="53" spans="1:20" x14ac:dyDescent="0.15">
      <c r="A53" s="6"/>
      <c r="T53" s="9"/>
    </row>
    <row r="54" spans="1:20" x14ac:dyDescent="0.15">
      <c r="A54" s="1"/>
      <c r="T54" s="9"/>
    </row>
    <row r="55" spans="1:20" ht="14.25" thickBot="1" x14ac:dyDescent="0.2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2"/>
    </row>
  </sheetData>
  <mergeCells count="2">
    <mergeCell ref="A6:S6"/>
    <mergeCell ref="A7:S7"/>
  </mergeCells>
  <phoneticPr fontId="3"/>
  <pageMargins left="0.74803149606299213" right="0.27559055118110237" top="0.27559055118110237" bottom="0.31496062992125984" header="0.19685039370078741" footer="0.19685039370078741"/>
  <pageSetup paperSize="9" scale="7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83224f-bca2-4a26-8103-c29586a345d3">
      <Terms xmlns="http://schemas.microsoft.com/office/infopath/2007/PartnerControls"/>
    </lcf76f155ced4ddcb4097134ff3c332f>
    <TaxCatchAll xmlns="599436f0-e9c9-4d00-b54e-ec6e2ae7c0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F26CF2F8FAC6540B2E2D78F17349A46" ma:contentTypeVersion="16" ma:contentTypeDescription="新しいドキュメントを作成します。" ma:contentTypeScope="" ma:versionID="9357dfffac68456c1601b4d3d0cb58a8">
  <xsd:schema xmlns:xsd="http://www.w3.org/2001/XMLSchema" xmlns:xs="http://www.w3.org/2001/XMLSchema" xmlns:p="http://schemas.microsoft.com/office/2006/metadata/properties" xmlns:ns1="http://schemas.microsoft.com/sharepoint/v3" xmlns:ns2="9083224f-bca2-4a26-8103-c29586a345d3" xmlns:ns3="599436f0-e9c9-4d00-b54e-ec6e2ae7c0a4" targetNamespace="http://schemas.microsoft.com/office/2006/metadata/properties" ma:root="true" ma:fieldsID="2bc59d485ae22a250c44a16dad3d8f5c" ns1:_="" ns2:_="" ns3:_="">
    <xsd:import namespace="http://schemas.microsoft.com/sharepoint/v3"/>
    <xsd:import namespace="9083224f-bca2-4a26-8103-c29586a345d3"/>
    <xsd:import namespace="599436f0-e9c9-4d00-b54e-ec6e2ae7c0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1:_dlc_ExpireDateSaved" minOccurs="0"/>
                <xsd:element ref="ns1:_dlc_ExpireDate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21" nillable="true" ma:displayName="元の有効期限" ma:hidden="true" ma:internalName="_dlc_ExpireDateSaved" ma:readOnly="true">
      <xsd:simpleType>
        <xsd:restriction base="dms:DateTime"/>
      </xsd:simpleType>
    </xsd:element>
    <xsd:element name="_dlc_ExpireDate" ma:index="22" nillable="true" ma:displayName="期日" ma:description="" ma:hidden="true" ma:indexed="true" ma:internalName="_dlc_ExpireDate" ma:readOnly="true">
      <xsd:simpleType>
        <xsd:restriction base="dms:DateTime"/>
      </xsd:simpleType>
    </xsd:element>
    <xsd:element name="_dlc_Exempt" ma:index="23" nillable="true" ma:displayName="ポリシー適用除外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3224f-bca2-4a26-8103-c29586a34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e8661d2-689f-413d-b0a3-4aff7ba57b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436f0-e9c9-4d00-b54e-ec6e2ae7c0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0a4b0fd-1891-4254-aa74-3e53b7f56f96}" ma:internalName="TaxCatchAll" ma:showField="CatchAllData" ma:web="599436f0-e9c9-4d00-b54e-ec6e2ae7c0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B21C8-C4CF-48E1-BC74-43095DF743EC}">
  <ds:schemaRefs>
    <ds:schemaRef ds:uri="http://schemas.microsoft.com/office/2006/metadata/properties"/>
    <ds:schemaRef ds:uri="http://schemas.microsoft.com/office/infopath/2007/PartnerControls"/>
    <ds:schemaRef ds:uri="9083224f-bca2-4a26-8103-c29586a345d3"/>
    <ds:schemaRef ds:uri="599436f0-e9c9-4d00-b54e-ec6e2ae7c0a4"/>
  </ds:schemaRefs>
</ds:datastoreItem>
</file>

<file path=customXml/itemProps2.xml><?xml version="1.0" encoding="utf-8"?>
<ds:datastoreItem xmlns:ds="http://schemas.openxmlformats.org/officeDocument/2006/customXml" ds:itemID="{F36566BA-9CCB-47F7-83F4-BDC0990AFE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97CABA-30E5-44A9-A96C-EDE189B475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083224f-bca2-4a26-8103-c29586a345d3"/>
    <ds:schemaRef ds:uri="599436f0-e9c9-4d00-b54e-ec6e2ae7c0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様式５の３</vt:lpstr>
      <vt:lpstr>（日負荷曲線用需要データ）</vt:lpstr>
      <vt:lpstr>（日負荷曲線用元データ）</vt:lpstr>
      <vt:lpstr>（日負荷用基本データ）</vt:lpstr>
      <vt:lpstr>様式３（回転機）</vt:lpstr>
      <vt:lpstr>様式３（二次励磁機）</vt:lpstr>
      <vt:lpstr>様式５の２</vt:lpstr>
      <vt:lpstr>'様式３（回転機）'!Print_Area</vt:lpstr>
      <vt:lpstr>'様式３（二次励磁機）'!Print_Area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2017-08-15T02:20:39Z</dcterms:created>
  <dcterms:modified xsi:type="dcterms:W3CDTF">2026-03-06T02:56:30Z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0x010100CF26CF2F8FAC6540B2E2D78F17349A46</vt:lpwstr>
  </property>
  <property fmtid="{D5CDD505-2E9C-101B-9397-08002B2CF9AE}" pid="3" name="_dlc_policyId">
    <vt:lpwstr/>
  </property>
  <property fmtid="{D5CDD505-2E9C-101B-9397-08002B2CF9AE}" pid="4" name="ItemRetentionFormula">
    <vt:lpwstr/>
  </property>
</Properties>
</file>